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 Order Book" sheetId="1" state="visible" r:id="rId3"/>
  </sheets>
  <definedNames>
    <definedName function="false" hidden="true" localSheetId="0" name="_xlnm._FilterDatabase" vbProcedure="false">'Internal Order Book'!$A$1:$G$43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<sst xmlns="http://schemas.openxmlformats.org/spreadsheetml/2006/main" count="260" uniqueCount="127">
  <si>
    <t xml:space="preserve">Order ID</t>
  </si>
  <si>
    <t xml:space="preserve">Order Date</t>
  </si>
  <si>
    <t xml:space="preserve">Customer Name</t>
  </si>
  <si>
    <t xml:space="preserve">Payment Mode</t>
  </si>
  <si>
    <t xml:space="preserve">Amount (INR)</t>
  </si>
  <si>
    <t xml:space="preserve">Order Status</t>
  </si>
  <si>
    <t xml:space="preserve">Expected Settlement Date</t>
  </si>
  <si>
    <t xml:space="preserve">ORD-5034</t>
  </si>
  <si>
    <t xml:space="preserve">2026-07-05</t>
  </si>
  <si>
    <t xml:space="preserve">Tara D'Souza</t>
  </si>
  <si>
    <t xml:space="preserve">Cash</t>
  </si>
  <si>
    <t xml:space="preserve">Completed</t>
  </si>
  <si>
    <t xml:space="preserve">2026-07-06</t>
  </si>
  <si>
    <t xml:space="preserve">ORD-5021</t>
  </si>
  <si>
    <t xml:space="preserve">2026-07-03</t>
  </si>
  <si>
    <t xml:space="preserve">Owais Ahmed</t>
  </si>
  <si>
    <t xml:space="preserve">Card</t>
  </si>
  <si>
    <t xml:space="preserve">ORD-5015</t>
  </si>
  <si>
    <t xml:space="preserve">2026-07-30</t>
  </si>
  <si>
    <t xml:space="preserve">Sanya Kapoor</t>
  </si>
  <si>
    <t xml:space="preserve">2026-08-01</t>
  </si>
  <si>
    <t xml:space="preserve">ORD-5008</t>
  </si>
  <si>
    <t xml:space="preserve">2026-07-09</t>
  </si>
  <si>
    <t xml:space="preserve">UPI</t>
  </si>
  <si>
    <t xml:space="preserve">2026-07-11</t>
  </si>
  <si>
    <t xml:space="preserve">ORD-5042</t>
  </si>
  <si>
    <t xml:space="preserve">Preeti Rawat</t>
  </si>
  <si>
    <t xml:space="preserve">Bank Transfer (NEFT)</t>
  </si>
  <si>
    <t xml:space="preserve">Cancelled Post-Order</t>
  </si>
  <si>
    <t xml:space="preserve">ORD-5016</t>
  </si>
  <si>
    <t xml:space="preserve">2026-07-04</t>
  </si>
  <si>
    <t xml:space="preserve">Ira Sharma</t>
  </si>
  <si>
    <t xml:space="preserve">Pending - Payment Not Completed</t>
  </si>
  <si>
    <t xml:space="preserve">ORD-5011</t>
  </si>
  <si>
    <t xml:space="preserve">2026-07-01</t>
  </si>
  <si>
    <t xml:space="preserve">Farhan Ali</t>
  </si>
  <si>
    <t xml:space="preserve">ORD-5004</t>
  </si>
  <si>
    <t xml:space="preserve">2026-08-11</t>
  </si>
  <si>
    <t xml:space="preserve">Dhruv Kashyap</t>
  </si>
  <si>
    <t xml:space="preserve">2026-08-13</t>
  </si>
  <si>
    <t xml:space="preserve">ORD-5038</t>
  </si>
  <si>
    <t xml:space="preserve">2026-08-06</t>
  </si>
  <si>
    <t xml:space="preserve">Faizan Sheikh</t>
  </si>
  <si>
    <t xml:space="preserve">Split Payment (UPI + Card)</t>
  </si>
  <si>
    <t xml:space="preserve">2026-08-08</t>
  </si>
  <si>
    <t xml:space="preserve">ORD-5018</t>
  </si>
  <si>
    <t xml:space="preserve">2026-08-04</t>
  </si>
  <si>
    <t xml:space="preserve">ORD-5028</t>
  </si>
  <si>
    <t xml:space="preserve">2026-07-15</t>
  </si>
  <si>
    <t xml:space="preserve">Devansh Oberoi</t>
  </si>
  <si>
    <t xml:space="preserve">2026-07-17</t>
  </si>
  <si>
    <t xml:space="preserve">ORD-5039</t>
  </si>
  <si>
    <t xml:space="preserve">2026-07-10</t>
  </si>
  <si>
    <t xml:space="preserve">Zoya Siddiqui</t>
  </si>
  <si>
    <t xml:space="preserve">Split Payment (NEFT + Cash)</t>
  </si>
  <si>
    <t xml:space="preserve">2026-07-12</t>
  </si>
  <si>
    <t xml:space="preserve">ORD-5019</t>
  </si>
  <si>
    <t xml:space="preserve">2026-07-13</t>
  </si>
  <si>
    <t xml:space="preserve">Aryan Dutta</t>
  </si>
  <si>
    <t xml:space="preserve">ORD-5033</t>
  </si>
  <si>
    <t xml:space="preserve">2026-07-24</t>
  </si>
  <si>
    <t xml:space="preserve">Chitra Ramachandran</t>
  </si>
  <si>
    <t xml:space="preserve">2026-07-25</t>
  </si>
  <si>
    <t xml:space="preserve">ORD-5025</t>
  </si>
  <si>
    <t xml:space="preserve">2026-07-27</t>
  </si>
  <si>
    <t xml:space="preserve">ORD-5010</t>
  </si>
  <si>
    <t xml:space="preserve">Zara Hussain</t>
  </si>
  <si>
    <t xml:space="preserve">ORD-5040</t>
  </si>
  <si>
    <t xml:space="preserve">2026-07-28</t>
  </si>
  <si>
    <t xml:space="preserve">Ashwin Nagarajan</t>
  </si>
  <si>
    <t xml:space="preserve">Payment Failed - No Record</t>
  </si>
  <si>
    <t xml:space="preserve">ORD-5031</t>
  </si>
  <si>
    <t xml:space="preserve">Naina Talwar</t>
  </si>
  <si>
    <t xml:space="preserve">2026-07-29</t>
  </si>
  <si>
    <t xml:space="preserve">ORD-5003</t>
  </si>
  <si>
    <t xml:space="preserve">2026-08-09</t>
  </si>
  <si>
    <t xml:space="preserve">ORD-5022</t>
  </si>
  <si>
    <t xml:space="preserve">ORD-5012</t>
  </si>
  <si>
    <t xml:space="preserve">2026-07-18</t>
  </si>
  <si>
    <t xml:space="preserve">Kabir Anand</t>
  </si>
  <si>
    <t xml:space="preserve">2026-07-20</t>
  </si>
  <si>
    <t xml:space="preserve">ORD-5035</t>
  </si>
  <si>
    <t xml:space="preserve">2026-07-07</t>
  </si>
  <si>
    <t xml:space="preserve">Roshni Pillai</t>
  </si>
  <si>
    <t xml:space="preserve">2026-07-08</t>
  </si>
  <si>
    <t xml:space="preserve">ORD-5023</t>
  </si>
  <si>
    <t xml:space="preserve">ORD-5002</t>
  </si>
  <si>
    <t xml:space="preserve">Lakshmi Narayan</t>
  </si>
  <si>
    <t xml:space="preserve">2026-07-19</t>
  </si>
  <si>
    <t xml:space="preserve">ORD-5013</t>
  </si>
  <si>
    <t xml:space="preserve">2026-07-26</t>
  </si>
  <si>
    <t xml:space="preserve">Imran Qureshi</t>
  </si>
  <si>
    <t xml:space="preserve">ORD-5024</t>
  </si>
  <si>
    <t xml:space="preserve">2026-07-22</t>
  </si>
  <si>
    <t xml:space="preserve">ORD-5030</t>
  </si>
  <si>
    <t xml:space="preserve">Harsh Vardhan</t>
  </si>
  <si>
    <t xml:space="preserve">2026-08-10</t>
  </si>
  <si>
    <t xml:space="preserve">ORD-5017</t>
  </si>
  <si>
    <t xml:space="preserve">Refunded</t>
  </si>
  <si>
    <t xml:space="preserve">ORD-5005</t>
  </si>
  <si>
    <t xml:space="preserve">Anushka Verma</t>
  </si>
  <si>
    <t xml:space="preserve">Partially Refunded</t>
  </si>
  <si>
    <t xml:space="preserve">ORD-5041</t>
  </si>
  <si>
    <t xml:space="preserve">Disputed - Under Investigation</t>
  </si>
  <si>
    <t xml:space="preserve">ORD-5036</t>
  </si>
  <si>
    <t xml:space="preserve">Nakul Grover</t>
  </si>
  <si>
    <t xml:space="preserve">ORD-5020</t>
  </si>
  <si>
    <t xml:space="preserve">ORD-5001</t>
  </si>
  <si>
    <t xml:space="preserve">ORD-5026</t>
  </si>
  <si>
    <t xml:space="preserve">Manav Chugh</t>
  </si>
  <si>
    <t xml:space="preserve">ORD-5027</t>
  </si>
  <si>
    <t xml:space="preserve">Yusuf Merchant</t>
  </si>
  <si>
    <t xml:space="preserve">ORD-5006</t>
  </si>
  <si>
    <t xml:space="preserve">2026-07-31</t>
  </si>
  <si>
    <t xml:space="preserve">Kritika Malhotra</t>
  </si>
  <si>
    <t xml:space="preserve">Completed - Duplicate Charge Flagged</t>
  </si>
  <si>
    <t xml:space="preserve">2026-08-02</t>
  </si>
  <si>
    <t xml:space="preserve">ORD-5007</t>
  </si>
  <si>
    <t xml:space="preserve">ORD-5009</t>
  </si>
  <si>
    <t xml:space="preserve">Leela Krishnamurthy</t>
  </si>
  <si>
    <t xml:space="preserve">ORD-5014</t>
  </si>
  <si>
    <t xml:space="preserve">ORD-5037</t>
  </si>
  <si>
    <t xml:space="preserve">Simran Kaur</t>
  </si>
  <si>
    <t xml:space="preserve">ORD-5032</t>
  </si>
  <si>
    <t xml:space="preserve">ORD-5029</t>
  </si>
  <si>
    <t xml:space="preserve">Rajeev Bakshi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</si>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</sst>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4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A1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A1B4D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6016.68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3" t="n">
        <v>29848.33</v>
      </c>
      <c r="F3" s="2" t="s">
        <v>11</v>
      </c>
      <c r="G3" s="2" t="s">
        <v>8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16</v>
      </c>
      <c r="E4" s="3" t="n">
        <v>43741.5</v>
      </c>
      <c r="F4" s="2" t="s">
        <v>11</v>
      </c>
      <c r="G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9</v>
      </c>
      <c r="D5" s="2" t="s">
        <v>23</v>
      </c>
      <c r="E5" s="3" t="n">
        <v>46038.79</v>
      </c>
      <c r="F5" s="2" t="s">
        <v>11</v>
      </c>
      <c r="G5" s="2" t="s">
        <v>24</v>
      </c>
    </row>
    <row r="6" customFormat="false" ht="15" hidden="false" customHeight="false" outlineLevel="0" collapsed="false">
      <c r="A6" s="2" t="s">
        <v>25</v>
      </c>
      <c r="B6" s="2" t="s">
        <v>14</v>
      </c>
      <c r="C6" s="2" t="s">
        <v>26</v>
      </c>
      <c r="D6" s="2" t="s">
        <v>27</v>
      </c>
      <c r="E6" s="3" t="n">
        <v>12285.9</v>
      </c>
      <c r="F6" s="2" t="s">
        <v>28</v>
      </c>
      <c r="G6" s="2" t="s">
        <v>8</v>
      </c>
    </row>
    <row r="7" customFormat="false" ht="15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16</v>
      </c>
      <c r="E7" s="3" t="n">
        <v>45294.38</v>
      </c>
      <c r="F7" s="2" t="s">
        <v>32</v>
      </c>
      <c r="G7" s="2" t="s">
        <v>12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23</v>
      </c>
      <c r="E8" s="3" t="n">
        <v>44606.5</v>
      </c>
      <c r="F8" s="2" t="s">
        <v>11</v>
      </c>
      <c r="G8" s="2" t="s">
        <v>14</v>
      </c>
    </row>
    <row r="9" customFormat="false" ht="15" hidden="false" customHeight="false" outlineLevel="0" collapsed="false">
      <c r="A9" s="2" t="s">
        <v>36</v>
      </c>
      <c r="B9" s="2" t="s">
        <v>37</v>
      </c>
      <c r="C9" s="2" t="s">
        <v>38</v>
      </c>
      <c r="D9" s="2" t="s">
        <v>23</v>
      </c>
      <c r="E9" s="3" t="n">
        <v>16100.66</v>
      </c>
      <c r="F9" s="2" t="s">
        <v>11</v>
      </c>
      <c r="G9" s="2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43</v>
      </c>
      <c r="E10" s="3" t="n">
        <v>35331.59</v>
      </c>
      <c r="F10" s="2" t="s">
        <v>11</v>
      </c>
      <c r="G10" s="2" t="s">
        <v>44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38</v>
      </c>
      <c r="D11" s="2" t="s">
        <v>16</v>
      </c>
      <c r="E11" s="3" t="n">
        <v>38250.13</v>
      </c>
      <c r="F11" s="2" t="s">
        <v>11</v>
      </c>
      <c r="G11" s="2" t="s">
        <v>41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49</v>
      </c>
      <c r="D12" s="2" t="s">
        <v>27</v>
      </c>
      <c r="E12" s="3" t="n">
        <v>6873.25</v>
      </c>
      <c r="F12" s="2" t="s">
        <v>11</v>
      </c>
      <c r="G12" s="2" t="s">
        <v>50</v>
      </c>
    </row>
    <row r="13" customFormat="false" ht="15" hidden="false" customHeight="false" outlineLevel="0" collapsed="false">
      <c r="A13" s="2" t="s">
        <v>51</v>
      </c>
      <c r="B13" s="2" t="s">
        <v>52</v>
      </c>
      <c r="C13" s="2" t="s">
        <v>53</v>
      </c>
      <c r="D13" s="2" t="s">
        <v>54</v>
      </c>
      <c r="E13" s="3" t="n">
        <v>50473.6</v>
      </c>
      <c r="F13" s="2" t="s">
        <v>11</v>
      </c>
      <c r="G13" s="2" t="s">
        <v>55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58</v>
      </c>
      <c r="D14" s="2" t="s">
        <v>16</v>
      </c>
      <c r="E14" s="3" t="n">
        <v>2350.3</v>
      </c>
      <c r="F14" s="2" t="s">
        <v>11</v>
      </c>
      <c r="G14" s="2" t="s">
        <v>48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61</v>
      </c>
      <c r="D15" s="2" t="s">
        <v>10</v>
      </c>
      <c r="E15" s="3" t="n">
        <v>7411.94</v>
      </c>
      <c r="F15" s="2" t="s">
        <v>11</v>
      </c>
      <c r="G15" s="2" t="s">
        <v>62</v>
      </c>
    </row>
    <row r="16" customFormat="false" ht="15" hidden="false" customHeight="false" outlineLevel="0" collapsed="false">
      <c r="A16" s="2" t="s">
        <v>63</v>
      </c>
      <c r="B16" s="2" t="s">
        <v>62</v>
      </c>
      <c r="C16" s="2" t="s">
        <v>19</v>
      </c>
      <c r="D16" s="2" t="s">
        <v>27</v>
      </c>
      <c r="E16" s="3" t="n">
        <v>30980.83</v>
      </c>
      <c r="F16" s="2" t="s">
        <v>11</v>
      </c>
      <c r="G16" s="2" t="s">
        <v>64</v>
      </c>
    </row>
    <row r="17" customFormat="false" ht="15" hidden="false" customHeight="false" outlineLevel="0" collapsed="false">
      <c r="A17" s="2" t="s">
        <v>65</v>
      </c>
      <c r="B17" s="2" t="s">
        <v>18</v>
      </c>
      <c r="C17" s="2" t="s">
        <v>66</v>
      </c>
      <c r="D17" s="2" t="s">
        <v>23</v>
      </c>
      <c r="E17" s="3" t="n">
        <v>6188.25</v>
      </c>
      <c r="F17" s="2" t="s">
        <v>11</v>
      </c>
      <c r="G17" s="2" t="s">
        <v>20</v>
      </c>
    </row>
    <row r="18" customFormat="false" ht="15" hidden="false" customHeight="false" outlineLevel="0" collapsed="false">
      <c r="A18" s="2" t="s">
        <v>67</v>
      </c>
      <c r="B18" s="2" t="s">
        <v>68</v>
      </c>
      <c r="C18" s="2" t="s">
        <v>69</v>
      </c>
      <c r="D18" s="2" t="s">
        <v>16</v>
      </c>
      <c r="E18" s="3" t="n">
        <v>3472.48</v>
      </c>
      <c r="F18" s="2" t="s">
        <v>70</v>
      </c>
      <c r="G18" s="2" t="s">
        <v>18</v>
      </c>
    </row>
    <row r="19" customFormat="false" ht="15" hidden="false" customHeight="false" outlineLevel="0" collapsed="false">
      <c r="A19" s="2" t="s">
        <v>71</v>
      </c>
      <c r="B19" s="2" t="s">
        <v>64</v>
      </c>
      <c r="C19" s="2" t="s">
        <v>72</v>
      </c>
      <c r="D19" s="2" t="s">
        <v>27</v>
      </c>
      <c r="E19" s="3" t="n">
        <v>27519.04</v>
      </c>
      <c r="F19" s="2" t="s">
        <v>11</v>
      </c>
      <c r="G19" s="2" t="s">
        <v>73</v>
      </c>
    </row>
    <row r="20" customFormat="false" ht="15" hidden="false" customHeight="false" outlineLevel="0" collapsed="false">
      <c r="A20" s="2" t="s">
        <v>74</v>
      </c>
      <c r="B20" s="2" t="s">
        <v>75</v>
      </c>
      <c r="C20" s="2" t="s">
        <v>15</v>
      </c>
      <c r="D20" s="2" t="s">
        <v>23</v>
      </c>
      <c r="E20" s="3" t="n">
        <v>16100.66</v>
      </c>
      <c r="F20" s="2" t="s">
        <v>11</v>
      </c>
      <c r="G20" s="2" t="s">
        <v>37</v>
      </c>
    </row>
    <row r="21" customFormat="false" ht="15" hidden="false" customHeight="false" outlineLevel="0" collapsed="false">
      <c r="A21" s="2" t="s">
        <v>76</v>
      </c>
      <c r="B21" s="2" t="s">
        <v>30</v>
      </c>
      <c r="C21" s="2" t="s">
        <v>61</v>
      </c>
      <c r="D21" s="2" t="s">
        <v>16</v>
      </c>
      <c r="E21" s="3" t="n">
        <v>35723.32</v>
      </c>
      <c r="F21" s="2" t="s">
        <v>11</v>
      </c>
      <c r="G21" s="2" t="s">
        <v>12</v>
      </c>
    </row>
    <row r="22" customFormat="false" ht="15" hidden="false" customHeight="false" outlineLevel="0" collapsed="false">
      <c r="A22" s="2" t="s">
        <v>77</v>
      </c>
      <c r="B22" s="2" t="s">
        <v>78</v>
      </c>
      <c r="C22" s="2" t="s">
        <v>79</v>
      </c>
      <c r="D22" s="2" t="s">
        <v>23</v>
      </c>
      <c r="E22" s="3" t="n">
        <v>10501.08</v>
      </c>
      <c r="F22" s="2" t="s">
        <v>11</v>
      </c>
      <c r="G22" s="2" t="s">
        <v>80</v>
      </c>
    </row>
    <row r="23" customFormat="false" ht="15" hidden="false" customHeight="false" outlineLevel="0" collapsed="false">
      <c r="A23" s="2" t="s">
        <v>81</v>
      </c>
      <c r="B23" s="2" t="s">
        <v>82</v>
      </c>
      <c r="C23" s="2" t="s">
        <v>83</v>
      </c>
      <c r="D23" s="2" t="s">
        <v>10</v>
      </c>
      <c r="E23" s="3" t="n">
        <v>8446.11</v>
      </c>
      <c r="F23" s="2" t="s">
        <v>11</v>
      </c>
      <c r="G23" s="2" t="s">
        <v>84</v>
      </c>
    </row>
    <row r="24" customFormat="false" ht="15" hidden="false" customHeight="false" outlineLevel="0" collapsed="false">
      <c r="A24" s="2" t="s">
        <v>85</v>
      </c>
      <c r="B24" s="2" t="s">
        <v>24</v>
      </c>
      <c r="C24" s="2" t="s">
        <v>79</v>
      </c>
      <c r="D24" s="2" t="s">
        <v>16</v>
      </c>
      <c r="E24" s="3" t="n">
        <v>20441.83</v>
      </c>
      <c r="F24" s="2" t="s">
        <v>11</v>
      </c>
      <c r="G24" s="2" t="s">
        <v>57</v>
      </c>
    </row>
    <row r="25" customFormat="false" ht="15" hidden="false" customHeight="false" outlineLevel="0" collapsed="false">
      <c r="A25" s="2" t="s">
        <v>86</v>
      </c>
      <c r="B25" s="2" t="s">
        <v>50</v>
      </c>
      <c r="C25" s="2" t="s">
        <v>87</v>
      </c>
      <c r="D25" s="2" t="s">
        <v>23</v>
      </c>
      <c r="E25" s="3" t="n">
        <v>4984.45</v>
      </c>
      <c r="F25" s="2" t="s">
        <v>11</v>
      </c>
      <c r="G25" s="2" t="s">
        <v>88</v>
      </c>
    </row>
    <row r="26" customFormat="false" ht="15" hidden="false" customHeight="false" outlineLevel="0" collapsed="false">
      <c r="A26" s="2" t="s">
        <v>89</v>
      </c>
      <c r="B26" s="2" t="s">
        <v>90</v>
      </c>
      <c r="C26" s="2" t="s">
        <v>91</v>
      </c>
      <c r="D26" s="2" t="s">
        <v>23</v>
      </c>
      <c r="E26" s="3" t="n">
        <v>3202.59</v>
      </c>
      <c r="F26" s="2" t="s">
        <v>11</v>
      </c>
      <c r="G26" s="2" t="s">
        <v>68</v>
      </c>
    </row>
    <row r="27" customFormat="false" ht="15" hidden="false" customHeight="false" outlineLevel="0" collapsed="false">
      <c r="A27" s="2" t="s">
        <v>92</v>
      </c>
      <c r="B27" s="2" t="s">
        <v>93</v>
      </c>
      <c r="C27" s="2" t="s">
        <v>31</v>
      </c>
      <c r="D27" s="2" t="s">
        <v>16</v>
      </c>
      <c r="E27" s="3" t="n">
        <v>12790.83</v>
      </c>
      <c r="F27" s="2" t="s">
        <v>11</v>
      </c>
      <c r="G27" s="2" t="s">
        <v>60</v>
      </c>
    </row>
    <row r="28" customFormat="false" ht="15" hidden="false" customHeight="false" outlineLevel="0" collapsed="false">
      <c r="A28" s="2" t="s">
        <v>94</v>
      </c>
      <c r="B28" s="2" t="s">
        <v>44</v>
      </c>
      <c r="C28" s="2" t="s">
        <v>95</v>
      </c>
      <c r="D28" s="2" t="s">
        <v>27</v>
      </c>
      <c r="E28" s="3" t="n">
        <v>20902</v>
      </c>
      <c r="F28" s="2" t="s">
        <v>11</v>
      </c>
      <c r="G28" s="2" t="s">
        <v>96</v>
      </c>
    </row>
    <row r="29" customFormat="false" ht="15" hidden="false" customHeight="false" outlineLevel="0" collapsed="false">
      <c r="A29" s="2" t="s">
        <v>97</v>
      </c>
      <c r="B29" s="2" t="s">
        <v>93</v>
      </c>
      <c r="C29" s="2" t="s">
        <v>9</v>
      </c>
      <c r="D29" s="2" t="s">
        <v>16</v>
      </c>
      <c r="E29" s="3" t="n">
        <v>4143.16</v>
      </c>
      <c r="F29" s="2" t="s">
        <v>98</v>
      </c>
      <c r="G29" s="2" t="s">
        <v>60</v>
      </c>
    </row>
    <row r="30" customFormat="false" ht="15" hidden="false" customHeight="false" outlineLevel="0" collapsed="false">
      <c r="A30" s="2" t="s">
        <v>99</v>
      </c>
      <c r="B30" s="2" t="s">
        <v>82</v>
      </c>
      <c r="C30" s="2" t="s">
        <v>100</v>
      </c>
      <c r="D30" s="2" t="s">
        <v>23</v>
      </c>
      <c r="E30" s="3" t="n">
        <v>1527.32</v>
      </c>
      <c r="F30" s="2" t="s">
        <v>101</v>
      </c>
      <c r="G30" s="2" t="s">
        <v>22</v>
      </c>
    </row>
    <row r="31" customFormat="false" ht="15" hidden="false" customHeight="false" outlineLevel="0" collapsed="false">
      <c r="A31" s="2" t="s">
        <v>102</v>
      </c>
      <c r="B31" s="2" t="s">
        <v>41</v>
      </c>
      <c r="C31" s="2" t="s">
        <v>87</v>
      </c>
      <c r="D31" s="2" t="s">
        <v>23</v>
      </c>
      <c r="E31" s="3" t="n">
        <v>34902.13</v>
      </c>
      <c r="F31" s="2" t="s">
        <v>103</v>
      </c>
      <c r="G31" s="2" t="s">
        <v>44</v>
      </c>
    </row>
    <row r="32" customFormat="false" ht="15" hidden="false" customHeight="false" outlineLevel="0" collapsed="false">
      <c r="A32" s="2" t="s">
        <v>104</v>
      </c>
      <c r="B32" s="2" t="s">
        <v>78</v>
      </c>
      <c r="C32" s="2" t="s">
        <v>105</v>
      </c>
      <c r="D32" s="2" t="s">
        <v>10</v>
      </c>
      <c r="E32" s="3" t="n">
        <v>7938.62</v>
      </c>
      <c r="F32" s="2" t="s">
        <v>11</v>
      </c>
      <c r="G32" s="2" t="s">
        <v>88</v>
      </c>
    </row>
    <row r="33" customFormat="false" ht="15" hidden="false" customHeight="false" outlineLevel="0" collapsed="false">
      <c r="A33" s="2" t="s">
        <v>106</v>
      </c>
      <c r="B33" s="2" t="s">
        <v>34</v>
      </c>
      <c r="C33" s="2" t="s">
        <v>42</v>
      </c>
      <c r="D33" s="2" t="s">
        <v>16</v>
      </c>
      <c r="E33" s="3" t="n">
        <v>48442.49</v>
      </c>
      <c r="F33" s="2" t="s">
        <v>11</v>
      </c>
      <c r="G33" s="2" t="s">
        <v>14</v>
      </c>
    </row>
    <row r="34" customFormat="false" ht="15" hidden="false" customHeight="false" outlineLevel="0" collapsed="false">
      <c r="A34" s="2" t="s">
        <v>107</v>
      </c>
      <c r="B34" s="2" t="s">
        <v>57</v>
      </c>
      <c r="C34" s="2" t="s">
        <v>58</v>
      </c>
      <c r="D34" s="2" t="s">
        <v>23</v>
      </c>
      <c r="E34" s="3" t="n">
        <v>48077.11</v>
      </c>
      <c r="F34" s="2" t="s">
        <v>11</v>
      </c>
      <c r="G34" s="2" t="s">
        <v>48</v>
      </c>
    </row>
    <row r="35" customFormat="false" ht="15" hidden="false" customHeight="false" outlineLevel="0" collapsed="false">
      <c r="A35" s="2" t="s">
        <v>108</v>
      </c>
      <c r="B35" s="2" t="s">
        <v>60</v>
      </c>
      <c r="C35" s="2" t="s">
        <v>109</v>
      </c>
      <c r="D35" s="2" t="s">
        <v>27</v>
      </c>
      <c r="E35" s="3" t="n">
        <v>46893.24</v>
      </c>
      <c r="F35" s="2" t="s">
        <v>11</v>
      </c>
      <c r="G35" s="2" t="s">
        <v>90</v>
      </c>
    </row>
    <row r="36" customFormat="false" ht="15" hidden="false" customHeight="false" outlineLevel="0" collapsed="false">
      <c r="A36" s="2" t="s">
        <v>110</v>
      </c>
      <c r="B36" s="2" t="s">
        <v>12</v>
      </c>
      <c r="C36" s="2" t="s">
        <v>111</v>
      </c>
      <c r="D36" s="2" t="s">
        <v>27</v>
      </c>
      <c r="E36" s="3" t="n">
        <v>1484.92</v>
      </c>
      <c r="F36" s="2" t="s">
        <v>11</v>
      </c>
      <c r="G36" s="2" t="s">
        <v>84</v>
      </c>
    </row>
    <row r="37" customFormat="false" ht="15" hidden="false" customHeight="false" outlineLevel="0" collapsed="false">
      <c r="A37" s="2" t="s">
        <v>112</v>
      </c>
      <c r="B37" s="2" t="s">
        <v>113</v>
      </c>
      <c r="C37" s="2" t="s">
        <v>114</v>
      </c>
      <c r="D37" s="2" t="s">
        <v>23</v>
      </c>
      <c r="E37" s="3" t="n">
        <v>43942.76</v>
      </c>
      <c r="F37" s="2" t="s">
        <v>115</v>
      </c>
      <c r="G37" s="2" t="s">
        <v>116</v>
      </c>
    </row>
    <row r="38" customFormat="false" ht="15" hidden="false" customHeight="false" outlineLevel="0" collapsed="false">
      <c r="A38" s="2" t="s">
        <v>117</v>
      </c>
      <c r="B38" s="2" t="s">
        <v>44</v>
      </c>
      <c r="C38" s="2" t="s">
        <v>109</v>
      </c>
      <c r="D38" s="2" t="s">
        <v>23</v>
      </c>
      <c r="E38" s="3" t="n">
        <v>41279.08</v>
      </c>
      <c r="F38" s="2" t="s">
        <v>11</v>
      </c>
      <c r="G38" s="2" t="s">
        <v>96</v>
      </c>
    </row>
    <row r="39" customFormat="false" ht="15" hidden="false" customHeight="false" outlineLevel="0" collapsed="false">
      <c r="A39" s="2" t="s">
        <v>118</v>
      </c>
      <c r="B39" s="2" t="s">
        <v>18</v>
      </c>
      <c r="C39" s="2" t="s">
        <v>119</v>
      </c>
      <c r="D39" s="2" t="s">
        <v>23</v>
      </c>
      <c r="E39" s="3" t="n">
        <v>14778.68</v>
      </c>
      <c r="F39" s="2" t="s">
        <v>11</v>
      </c>
      <c r="G39" s="2" t="s">
        <v>20</v>
      </c>
    </row>
    <row r="40" customFormat="false" ht="15" hidden="false" customHeight="false" outlineLevel="0" collapsed="false">
      <c r="A40" s="2" t="s">
        <v>120</v>
      </c>
      <c r="B40" s="2" t="s">
        <v>52</v>
      </c>
      <c r="C40" s="2" t="s">
        <v>15</v>
      </c>
      <c r="D40" s="2" t="s">
        <v>23</v>
      </c>
      <c r="E40" s="3" t="n">
        <v>19487.93</v>
      </c>
      <c r="F40" s="2" t="s">
        <v>11</v>
      </c>
      <c r="G40" s="2" t="s">
        <v>55</v>
      </c>
    </row>
    <row r="41" customFormat="false" ht="15" hidden="false" customHeight="false" outlineLevel="0" collapsed="false">
      <c r="A41" s="2" t="s">
        <v>121</v>
      </c>
      <c r="B41" s="2" t="s">
        <v>8</v>
      </c>
      <c r="C41" s="2" t="s">
        <v>122</v>
      </c>
      <c r="D41" s="2" t="s">
        <v>10</v>
      </c>
      <c r="E41" s="3" t="n">
        <v>2449.93</v>
      </c>
      <c r="F41" s="2" t="s">
        <v>11</v>
      </c>
      <c r="G41" s="2" t="s">
        <v>12</v>
      </c>
    </row>
    <row r="42" customFormat="false" ht="15" hidden="false" customHeight="false" outlineLevel="0" collapsed="false">
      <c r="A42" s="2" t="s">
        <v>123</v>
      </c>
      <c r="B42" s="2" t="s">
        <v>20</v>
      </c>
      <c r="C42" s="2" t="s">
        <v>35</v>
      </c>
      <c r="D42" s="2" t="s">
        <v>10</v>
      </c>
      <c r="E42" s="3" t="n">
        <v>6005.3</v>
      </c>
      <c r="F42" s="2" t="s">
        <v>11</v>
      </c>
      <c r="G42" s="2" t="s">
        <v>116</v>
      </c>
    </row>
    <row r="43" customFormat="false" ht="15" hidden="false" customHeight="false" outlineLevel="0" collapsed="false">
      <c r="A43" s="2" t="s">
        <v>124</v>
      </c>
      <c r="B43" s="2" t="s">
        <v>64</v>
      </c>
      <c r="C43" s="2" t="s">
        <v>125</v>
      </c>
      <c r="D43" s="2" t="s">
        <v>27</v>
      </c>
      <c r="E43" s="3" t="n">
        <v>41432.97</v>
      </c>
      <c r="F43" s="2" t="s">
        <v>11</v>
      </c>
      <c r="G43" s="2" t="s">
        <v>73</v>
      </c>
    </row>
    <row r="44" customFormat="false" ht="15" hidden="false" customHeight="false" outlineLevel="0" collapsed="false">
      <c r="A44" s="4" t="s">
        <v>126</v>
      </c>
      <c r="E44" s="5" t="n">
        <f aca="false">SUM(E2:E43)</f>
        <v>948662.66</v>
      </c>
    </row>
  </sheetData>
  <autoFilter ref="A1:G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2026-08-25T04:35:31Z</dcterms:created>
  <dc:creator>openpyxl</dc:creator>
  <dc:description/>
  <dc:language>en-US</dc:language>
  <cp:lastModifiedBy/>
  <dcterms:modified xsi:type="dcterms:W3CDTF">2026-08-25T04:35:31Z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