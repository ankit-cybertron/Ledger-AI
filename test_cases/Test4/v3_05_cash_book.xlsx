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Book" sheetId="1" state="visible" r:id="rId3"/>
  </sheets>
  <definedNames>
    <definedName function="false" hidden="true" localSheetId="0" name="_xlnm._FilterDatabase" vbProcedure="false">'Cash Book'!$A$1:$F$34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<sst xmlns="http://schemas.openxmlformats.org/spreadsheetml/2006/main" count="172" uniqueCount="98">
  <si>
    <t xml:space="preserve">Voucher No</t>
  </si>
  <si>
    <t xml:space="preserve">Date</t>
  </si>
  <si>
    <t xml:space="preserve">Particulars</t>
  </si>
  <si>
    <t xml:space="preserve">Amount (INR)</t>
  </si>
  <si>
    <t xml:space="preserve">Type</t>
  </si>
  <si>
    <t xml:space="preserve">Mode</t>
  </si>
  <si>
    <t xml:space="preserve">CV4011</t>
  </si>
  <si>
    <t xml:space="preserve">2026-07-28</t>
  </si>
  <si>
    <t xml:space="preserve">Cash Sale - Member - Lata Krishnan - BILL-7012</t>
  </si>
  <si>
    <t xml:space="preserve">Receipt</t>
  </si>
  <si>
    <t xml:space="preserve">Cash</t>
  </si>
  <si>
    <t xml:space="preserve">CV4013</t>
  </si>
  <si>
    <t xml:space="preserve">2026-07-26</t>
  </si>
  <si>
    <t xml:space="preserve">Cash Sale - Member - Neel Patel - BILL-7014</t>
  </si>
  <si>
    <t xml:space="preserve">CV4027</t>
  </si>
  <si>
    <t xml:space="preserve">2026-07-07</t>
  </si>
  <si>
    <t xml:space="preserve">Cash Refund - Member - Anjali Nair - BILL-7028</t>
  </si>
  <si>
    <t xml:space="preserve">Payment</t>
  </si>
  <si>
    <t xml:space="preserve">CV4004</t>
  </si>
  <si>
    <t xml:space="preserve">2026-07-15</t>
  </si>
  <si>
    <t xml:space="preserve">Cash Sale - Member - Anjali Nair - BILL-7005</t>
  </si>
  <si>
    <t xml:space="preserve">CV4009</t>
  </si>
  <si>
    <t xml:space="preserve">2026-07-12</t>
  </si>
  <si>
    <t xml:space="preserve">Cash Sale - Member - Vishal Chauhan - BILL-7010</t>
  </si>
  <si>
    <t xml:space="preserve">CV4010</t>
  </si>
  <si>
    <t xml:space="preserve">2026-07-18</t>
  </si>
  <si>
    <t xml:space="preserve">Cash Sale - Wholesale - Om Provisions - BILL-7011</t>
  </si>
  <si>
    <t xml:space="preserve">CV4000</t>
  </si>
  <si>
    <t xml:space="preserve">2026-07-11</t>
  </si>
  <si>
    <t xml:space="preserve">Cash Sale - Member - Anjali Nair - BILL-7001</t>
  </si>
  <si>
    <t xml:space="preserve">CV4012</t>
  </si>
  <si>
    <t xml:space="preserve">Cash Sale - Wholesale - Sunrise Traders - BILL-7013</t>
  </si>
  <si>
    <t xml:space="preserve">CV4021</t>
  </si>
  <si>
    <t xml:space="preserve">2026-07-17</t>
  </si>
  <si>
    <t xml:space="preserve">Cash Sale - Member - Junaid Sheikh - BILL-7022</t>
  </si>
  <si>
    <t xml:space="preserve">CV4019</t>
  </si>
  <si>
    <t xml:space="preserve">2026-07-14</t>
  </si>
  <si>
    <t xml:space="preserve">Cash Sale - Walk-in Customer - BILL-7020</t>
  </si>
  <si>
    <t xml:space="preserve">CV4006</t>
  </si>
  <si>
    <t xml:space="preserve">2026-07-13</t>
  </si>
  <si>
    <t xml:space="preserve">Cash Sale - Member - Junaid Sheikh - BILL-7007</t>
  </si>
  <si>
    <t xml:space="preserve">CV4014</t>
  </si>
  <si>
    <t xml:space="preserve">2026-07-31</t>
  </si>
  <si>
    <t xml:space="preserve">Cash Sale - Member - Rina Kapoor - BILL-7015</t>
  </si>
  <si>
    <t xml:space="preserve">CV4003</t>
  </si>
  <si>
    <t xml:space="preserve">Cash Sale - Wholesale - Om Provisions - BILL-7004</t>
  </si>
  <si>
    <t xml:space="preserve">CV4025</t>
  </si>
  <si>
    <t xml:space="preserve">2026-07-29</t>
  </si>
  <si>
    <t xml:space="preserve">Cash Refund - Member - Vishal Chauhan - BILL-7026</t>
  </si>
  <si>
    <t xml:space="preserve">CV4028</t>
  </si>
  <si>
    <t xml:space="preserve">2026-07-01</t>
  </si>
  <si>
    <t xml:space="preserve">Cash Refund - Member - Suresh Iyer - BILL-7029</t>
  </si>
  <si>
    <t xml:space="preserve">CV4001</t>
  </si>
  <si>
    <t xml:space="preserve">Cash Sale - Member - Deepak Menon - BILL-7002</t>
  </si>
  <si>
    <t xml:space="preserve">CV4030</t>
  </si>
  <si>
    <t xml:space="preserve">2026-07-22</t>
  </si>
  <si>
    <t xml:space="preserve">Petty Cash - Store Supplies</t>
  </si>
  <si>
    <t xml:space="preserve">CV4007</t>
  </si>
  <si>
    <t xml:space="preserve">2026-07-03</t>
  </si>
  <si>
    <t xml:space="preserve">Cash Sale - Wholesale - Metro Kirana - BILL-7008</t>
  </si>
  <si>
    <t xml:space="preserve">CV4026</t>
  </si>
  <si>
    <t xml:space="preserve">Cash Refund - Walk-in Customer - BILL-7027</t>
  </si>
  <si>
    <t xml:space="preserve">CV4032</t>
  </si>
  <si>
    <t xml:space="preserve">2026-07-25</t>
  </si>
  <si>
    <t xml:space="preserve">Staff Tea/Pantry Expense</t>
  </si>
  <si>
    <t xml:space="preserve">CV4016</t>
  </si>
  <si>
    <t xml:space="preserve">2026-07-21</t>
  </si>
  <si>
    <t xml:space="preserve">Cash Sale - Member - Anjali Nair - BILL-7017</t>
  </si>
  <si>
    <t xml:space="preserve">CV4020</t>
  </si>
  <si>
    <t xml:space="preserve">2026-07-05</t>
  </si>
  <si>
    <t xml:space="preserve">Cash Sale - Member - Rina Kapoor - BILL-7021</t>
  </si>
  <si>
    <t xml:space="preserve">CV4024</t>
  </si>
  <si>
    <t xml:space="preserve">Cash Sale - Wholesale - Green Basket Retail - BILL-7025</t>
  </si>
  <si>
    <t xml:space="preserve">CV4005</t>
  </si>
  <si>
    <t xml:space="preserve">Cash Sale - Member - Tanya D'Cruz - BILL-7006</t>
  </si>
  <si>
    <t xml:space="preserve">CV4017</t>
  </si>
  <si>
    <t xml:space="preserve">2026-07-09</t>
  </si>
  <si>
    <t xml:space="preserve">Cash Sale - Member - Ayesha Siddiqui - BILL-7018</t>
  </si>
  <si>
    <t xml:space="preserve">CV4023</t>
  </si>
  <si>
    <t xml:space="preserve">Cash Sale - Member - Junaid Sheikh - BILL-7024</t>
  </si>
  <si>
    <t xml:space="preserve">CV4022</t>
  </si>
  <si>
    <t xml:space="preserve">2026-07-16</t>
  </si>
  <si>
    <t xml:space="preserve">Cash Sale - Member - Vishal Chauhan - BILL-7023</t>
  </si>
  <si>
    <t xml:space="preserve">CV4031</t>
  </si>
  <si>
    <t xml:space="preserve">Cash Deposit to Bank</t>
  </si>
  <si>
    <t xml:space="preserve">CV4008</t>
  </si>
  <si>
    <t xml:space="preserve">2026-07-23</t>
  </si>
  <si>
    <t xml:space="preserve">Cash Sale - Walk-in Customer - BILL-7009</t>
  </si>
  <si>
    <t xml:space="preserve">CV4029</t>
  </si>
  <si>
    <t xml:space="preserve">Cash Refund - Member - Ramesh Pillai - BILL-7030</t>
  </si>
  <si>
    <t xml:space="preserve">CV4015</t>
  </si>
  <si>
    <t xml:space="preserve">2026-07-20</t>
  </si>
  <si>
    <t xml:space="preserve">Cash Sale - Member - Vishal Chauhan - BILL-7016</t>
  </si>
  <si>
    <t xml:space="preserve">CV4002</t>
  </si>
  <si>
    <t xml:space="preserve">Cash Sale - Wholesale - Om Provisions - BILL-7003</t>
  </si>
  <si>
    <t xml:space="preserve">CV4018</t>
  </si>
  <si>
    <t xml:space="preserve">Cash Sale - Member - Ayesha Siddiqui - BILL-7019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</si>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</sst>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5132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51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51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1779.68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3" t="n">
        <v>878.89</v>
      </c>
      <c r="E3" s="2" t="s">
        <v>9</v>
      </c>
      <c r="F3" s="2" t="s">
        <v>10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3" t="n">
        <v>-1510.23</v>
      </c>
      <c r="E4" s="2" t="s">
        <v>17</v>
      </c>
      <c r="F4" s="2" t="s">
        <v>10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3" t="n">
        <v>3131.46</v>
      </c>
      <c r="E5" s="2" t="s">
        <v>9</v>
      </c>
      <c r="F5" s="2" t="s">
        <v>10</v>
      </c>
    </row>
    <row r="6" customFormat="false" ht="15" hidden="false" customHeight="false" outlineLevel="0" collapsed="false">
      <c r="A6" s="2" t="s">
        <v>21</v>
      </c>
      <c r="B6" s="2" t="s">
        <v>22</v>
      </c>
      <c r="C6" s="2" t="s">
        <v>23</v>
      </c>
      <c r="D6" s="3" t="n">
        <v>1547.1</v>
      </c>
      <c r="E6" s="2" t="s">
        <v>9</v>
      </c>
      <c r="F6" s="2" t="s">
        <v>10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3" t="n">
        <v>36862.45</v>
      </c>
      <c r="E7" s="2" t="s">
        <v>9</v>
      </c>
      <c r="F7" s="2" t="s">
        <v>10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29</v>
      </c>
      <c r="D8" s="3" t="n">
        <v>2307.53</v>
      </c>
      <c r="E8" s="2" t="s">
        <v>9</v>
      </c>
      <c r="F8" s="2" t="s">
        <v>10</v>
      </c>
    </row>
    <row r="9" customFormat="false" ht="15" hidden="false" customHeight="false" outlineLevel="0" collapsed="false">
      <c r="A9" s="2" t="s">
        <v>30</v>
      </c>
      <c r="B9" s="2" t="s">
        <v>7</v>
      </c>
      <c r="C9" s="2" t="s">
        <v>31</v>
      </c>
      <c r="D9" s="3" t="n">
        <v>35313.83</v>
      </c>
      <c r="E9" s="2" t="s">
        <v>9</v>
      </c>
      <c r="F9" s="2" t="s">
        <v>10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34</v>
      </c>
      <c r="D10" s="3" t="n">
        <v>3234.7</v>
      </c>
      <c r="E10" s="2" t="s">
        <v>9</v>
      </c>
      <c r="F10" s="2" t="s">
        <v>10</v>
      </c>
    </row>
    <row r="11" customFormat="false" ht="15" hidden="false" customHeight="false" outlineLevel="0" collapsed="false">
      <c r="A11" s="2" t="s">
        <v>35</v>
      </c>
      <c r="B11" s="2" t="s">
        <v>36</v>
      </c>
      <c r="C11" s="2" t="s">
        <v>37</v>
      </c>
      <c r="D11" s="3" t="n">
        <v>2931.63</v>
      </c>
      <c r="E11" s="2" t="s">
        <v>9</v>
      </c>
      <c r="F11" s="2" t="s">
        <v>10</v>
      </c>
    </row>
    <row r="12" customFormat="false" ht="15" hidden="false" customHeight="false" outlineLevel="0" collapsed="false">
      <c r="A12" s="2" t="s">
        <v>38</v>
      </c>
      <c r="B12" s="2" t="s">
        <v>39</v>
      </c>
      <c r="C12" s="2" t="s">
        <v>40</v>
      </c>
      <c r="D12" s="3" t="n">
        <v>2275.49</v>
      </c>
      <c r="E12" s="2" t="s">
        <v>9</v>
      </c>
      <c r="F12" s="2" t="s">
        <v>10</v>
      </c>
    </row>
    <row r="13" customFormat="false" ht="15" hidden="false" customHeight="false" outlineLevel="0" collapsed="false">
      <c r="A13" s="2" t="s">
        <v>41</v>
      </c>
      <c r="B13" s="2" t="s">
        <v>42</v>
      </c>
      <c r="C13" s="2" t="s">
        <v>43</v>
      </c>
      <c r="D13" s="3" t="n">
        <v>3117.47</v>
      </c>
      <c r="E13" s="2" t="s">
        <v>9</v>
      </c>
      <c r="F13" s="2" t="s">
        <v>10</v>
      </c>
    </row>
    <row r="14" customFormat="false" ht="15" hidden="false" customHeight="false" outlineLevel="0" collapsed="false">
      <c r="A14" s="2" t="s">
        <v>44</v>
      </c>
      <c r="B14" s="2" t="s">
        <v>19</v>
      </c>
      <c r="C14" s="2" t="s">
        <v>45</v>
      </c>
      <c r="D14" s="3" t="n">
        <v>14311.98</v>
      </c>
      <c r="E14" s="2" t="s">
        <v>9</v>
      </c>
      <c r="F14" s="2" t="s">
        <v>10</v>
      </c>
    </row>
    <row r="15" customFormat="false" ht="15" hidden="false" customHeight="false" outlineLevel="0" collapsed="false">
      <c r="A15" s="2" t="s">
        <v>46</v>
      </c>
      <c r="B15" s="2" t="s">
        <v>47</v>
      </c>
      <c r="C15" s="2" t="s">
        <v>48</v>
      </c>
      <c r="D15" s="3" t="n">
        <v>-1650.87</v>
      </c>
      <c r="E15" s="2" t="s">
        <v>17</v>
      </c>
      <c r="F15" s="2" t="s">
        <v>10</v>
      </c>
    </row>
    <row r="16" customFormat="false" ht="15" hidden="false" customHeight="false" outlineLevel="0" collapsed="false">
      <c r="A16" s="2" t="s">
        <v>49</v>
      </c>
      <c r="B16" s="2" t="s">
        <v>50</v>
      </c>
      <c r="C16" s="2" t="s">
        <v>51</v>
      </c>
      <c r="D16" s="3" t="n">
        <v>-1967.48</v>
      </c>
      <c r="E16" s="2" t="s">
        <v>17</v>
      </c>
      <c r="F16" s="2" t="s">
        <v>10</v>
      </c>
    </row>
    <row r="17" customFormat="false" ht="15" hidden="false" customHeight="false" outlineLevel="0" collapsed="false">
      <c r="A17" s="2" t="s">
        <v>52</v>
      </c>
      <c r="B17" s="2" t="s">
        <v>47</v>
      </c>
      <c r="C17" s="2" t="s">
        <v>53</v>
      </c>
      <c r="D17" s="3" t="n">
        <v>2001.17</v>
      </c>
      <c r="E17" s="2" t="s">
        <v>9</v>
      </c>
      <c r="F17" s="2" t="s">
        <v>10</v>
      </c>
    </row>
    <row r="18" customFormat="false" ht="15" hidden="false" customHeight="false" outlineLevel="0" collapsed="false">
      <c r="A18" s="2" t="s">
        <v>54</v>
      </c>
      <c r="B18" s="2" t="s">
        <v>55</v>
      </c>
      <c r="C18" s="2" t="s">
        <v>56</v>
      </c>
      <c r="D18" s="3" t="n">
        <v>2272.05</v>
      </c>
      <c r="E18" s="2" t="s">
        <v>17</v>
      </c>
      <c r="F18" s="2" t="s">
        <v>10</v>
      </c>
    </row>
    <row r="19" customFormat="false" ht="15" hidden="false" customHeight="false" outlineLevel="0" collapsed="false">
      <c r="A19" s="2" t="s">
        <v>57</v>
      </c>
      <c r="B19" s="2" t="s">
        <v>58</v>
      </c>
      <c r="C19" s="2" t="s">
        <v>59</v>
      </c>
      <c r="D19" s="3" t="n">
        <v>34074.52</v>
      </c>
      <c r="E19" s="2" t="s">
        <v>9</v>
      </c>
      <c r="F19" s="2" t="s">
        <v>10</v>
      </c>
    </row>
    <row r="20" customFormat="false" ht="15" hidden="false" customHeight="false" outlineLevel="0" collapsed="false">
      <c r="A20" s="2" t="s">
        <v>60</v>
      </c>
      <c r="B20" s="2" t="s">
        <v>25</v>
      </c>
      <c r="C20" s="2" t="s">
        <v>61</v>
      </c>
      <c r="D20" s="3" t="n">
        <v>-1020.66</v>
      </c>
      <c r="E20" s="2" t="s">
        <v>17</v>
      </c>
      <c r="F20" s="2" t="s">
        <v>10</v>
      </c>
    </row>
    <row r="21" customFormat="false" ht="15" hidden="false" customHeight="false" outlineLevel="0" collapsed="false">
      <c r="A21" s="2" t="s">
        <v>62</v>
      </c>
      <c r="B21" s="2" t="s">
        <v>63</v>
      </c>
      <c r="C21" s="2" t="s">
        <v>64</v>
      </c>
      <c r="D21" s="3" t="n">
        <v>4378.74</v>
      </c>
      <c r="E21" s="2" t="s">
        <v>17</v>
      </c>
      <c r="F21" s="2" t="s">
        <v>10</v>
      </c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67</v>
      </c>
      <c r="D22" s="3" t="n">
        <v>2399.14</v>
      </c>
      <c r="E22" s="2" t="s">
        <v>9</v>
      </c>
      <c r="F22" s="2" t="s">
        <v>10</v>
      </c>
    </row>
    <row r="23" customFormat="false" ht="15" hidden="false" customHeight="false" outlineLevel="0" collapsed="false">
      <c r="A23" s="2" t="s">
        <v>68</v>
      </c>
      <c r="B23" s="2" t="s">
        <v>69</v>
      </c>
      <c r="C23" s="2" t="s">
        <v>70</v>
      </c>
      <c r="D23" s="3" t="n">
        <v>2138.78</v>
      </c>
      <c r="E23" s="2" t="s">
        <v>9</v>
      </c>
      <c r="F23" s="2" t="s">
        <v>10</v>
      </c>
    </row>
    <row r="24" customFormat="false" ht="15" hidden="false" customHeight="false" outlineLevel="0" collapsed="false">
      <c r="A24" s="2" t="s">
        <v>71</v>
      </c>
      <c r="B24" s="2" t="s">
        <v>28</v>
      </c>
      <c r="C24" s="2" t="s">
        <v>72</v>
      </c>
      <c r="D24" s="3" t="n">
        <v>32991.71</v>
      </c>
      <c r="E24" s="2" t="s">
        <v>9</v>
      </c>
      <c r="F24" s="2" t="s">
        <v>10</v>
      </c>
    </row>
    <row r="25" customFormat="false" ht="15" hidden="false" customHeight="false" outlineLevel="0" collapsed="false">
      <c r="A25" s="2" t="s">
        <v>73</v>
      </c>
      <c r="B25" s="2" t="s">
        <v>28</v>
      </c>
      <c r="C25" s="2" t="s">
        <v>74</v>
      </c>
      <c r="D25" s="3" t="n">
        <v>970.11</v>
      </c>
      <c r="E25" s="2" t="s">
        <v>9</v>
      </c>
      <c r="F25" s="2" t="s">
        <v>10</v>
      </c>
    </row>
    <row r="26" customFormat="false" ht="15" hidden="false" customHeight="false" outlineLevel="0" collapsed="false">
      <c r="A26" s="2" t="s">
        <v>75</v>
      </c>
      <c r="B26" s="2" t="s">
        <v>76</v>
      </c>
      <c r="C26" s="2" t="s">
        <v>77</v>
      </c>
      <c r="D26" s="3" t="n">
        <v>2383.77</v>
      </c>
      <c r="E26" s="2" t="s">
        <v>9</v>
      </c>
      <c r="F26" s="2" t="s">
        <v>10</v>
      </c>
    </row>
    <row r="27" customFormat="false" ht="15" hidden="false" customHeight="false" outlineLevel="0" collapsed="false">
      <c r="A27" s="2" t="s">
        <v>78</v>
      </c>
      <c r="B27" s="2" t="s">
        <v>36</v>
      </c>
      <c r="C27" s="2" t="s">
        <v>79</v>
      </c>
      <c r="D27" s="3" t="n">
        <v>3186.56</v>
      </c>
      <c r="E27" s="2" t="s">
        <v>9</v>
      </c>
      <c r="F27" s="2" t="s">
        <v>10</v>
      </c>
    </row>
    <row r="28" customFormat="false" ht="15" hidden="false" customHeight="false" outlineLevel="0" collapsed="false">
      <c r="A28" s="2" t="s">
        <v>80</v>
      </c>
      <c r="B28" s="2" t="s">
        <v>81</v>
      </c>
      <c r="C28" s="2" t="s">
        <v>82</v>
      </c>
      <c r="D28" s="3" t="n">
        <v>2711.46</v>
      </c>
      <c r="E28" s="2" t="s">
        <v>9</v>
      </c>
      <c r="F28" s="2" t="s">
        <v>10</v>
      </c>
    </row>
    <row r="29" customFormat="false" ht="15" hidden="false" customHeight="false" outlineLevel="0" collapsed="false">
      <c r="A29" s="2" t="s">
        <v>83</v>
      </c>
      <c r="B29" s="2" t="s">
        <v>50</v>
      </c>
      <c r="C29" s="2" t="s">
        <v>84</v>
      </c>
      <c r="D29" s="3" t="n">
        <v>3581.78</v>
      </c>
      <c r="E29" s="2" t="s">
        <v>9</v>
      </c>
      <c r="F29" s="2" t="s">
        <v>10</v>
      </c>
    </row>
    <row r="30" customFormat="false" ht="15" hidden="false" customHeight="false" outlineLevel="0" collapsed="false">
      <c r="A30" s="2" t="s">
        <v>85</v>
      </c>
      <c r="B30" s="2" t="s">
        <v>86</v>
      </c>
      <c r="C30" s="2" t="s">
        <v>87</v>
      </c>
      <c r="D30" s="3" t="n">
        <v>1164.42</v>
      </c>
      <c r="E30" s="2" t="s">
        <v>9</v>
      </c>
      <c r="F30" s="2" t="s">
        <v>10</v>
      </c>
    </row>
    <row r="31" customFormat="false" ht="15" hidden="false" customHeight="false" outlineLevel="0" collapsed="false">
      <c r="A31" s="2" t="s">
        <v>88</v>
      </c>
      <c r="B31" s="2" t="s">
        <v>7</v>
      </c>
      <c r="C31" s="2" t="s">
        <v>89</v>
      </c>
      <c r="D31" s="3" t="n">
        <v>-528.37</v>
      </c>
      <c r="E31" s="2" t="s">
        <v>17</v>
      </c>
      <c r="F31" s="2" t="s">
        <v>10</v>
      </c>
    </row>
    <row r="32" customFormat="false" ht="15" hidden="false" customHeight="false" outlineLevel="0" collapsed="false">
      <c r="A32" s="2" t="s">
        <v>90</v>
      </c>
      <c r="B32" s="2" t="s">
        <v>91</v>
      </c>
      <c r="C32" s="2" t="s">
        <v>92</v>
      </c>
      <c r="D32" s="3" t="n">
        <v>601.35</v>
      </c>
      <c r="E32" s="2" t="s">
        <v>9</v>
      </c>
      <c r="F32" s="2" t="s">
        <v>10</v>
      </c>
    </row>
    <row r="33" customFormat="false" ht="15" hidden="false" customHeight="false" outlineLevel="0" collapsed="false">
      <c r="A33" s="2" t="s">
        <v>93</v>
      </c>
      <c r="B33" s="2" t="s">
        <v>25</v>
      </c>
      <c r="C33" s="2" t="s">
        <v>94</v>
      </c>
      <c r="D33" s="3" t="n">
        <v>50808.48</v>
      </c>
      <c r="E33" s="2" t="s">
        <v>9</v>
      </c>
      <c r="F33" s="2" t="s">
        <v>10</v>
      </c>
    </row>
    <row r="34" customFormat="false" ht="15" hidden="false" customHeight="false" outlineLevel="0" collapsed="false">
      <c r="A34" s="2" t="s">
        <v>95</v>
      </c>
      <c r="B34" s="2" t="s">
        <v>12</v>
      </c>
      <c r="C34" s="2" t="s">
        <v>96</v>
      </c>
      <c r="D34" s="3" t="n">
        <v>2480.33</v>
      </c>
      <c r="E34" s="2" t="s">
        <v>9</v>
      </c>
      <c r="F34" s="2" t="s">
        <v>10</v>
      </c>
    </row>
    <row r="35" customFormat="false" ht="15" hidden="false" customHeight="false" outlineLevel="0" collapsed="false">
      <c r="A35" s="4" t="s">
        <v>97</v>
      </c>
      <c r="D35" s="5" t="n">
        <f aca="false">SUM(D2:D34)</f>
        <v>249158.97</v>
      </c>
    </row>
  </sheetData>
  <autoFilter ref="A1:F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2026-08-25T13:47:58Z</dcterms:created>
  <dc:creator>openpyxl</dc:creator>
  <dc:description/>
  <dc:language>en-US</dc:language>
  <cp:lastModifiedBy/>
  <dcterms:modified xsi:type="dcterms:W3CDTF">2026-08-25T13:47:58Z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