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 Payment" sheetId="1" state="visible" r:id="rId3"/>
  </sheets>
  <definedNames>
    <definedName function="false" hidden="true" localSheetId="0" name="_xlnm._FilterDatabase" vbProcedure="false">'Card Payment'!$A$1:$G$26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<sst xmlns="http://schemas.openxmlformats.org/spreadsheetml/2006/main" count="158" uniqueCount="108">
  <si>
    <t xml:space="preserve">Auth Code</t>
  </si>
  <si>
    <t xml:space="preserve">Card Network</t>
  </si>
  <si>
    <t xml:space="preserve">Card Last 4</t>
  </si>
  <si>
    <t xml:space="preserve">Date</t>
  </si>
  <si>
    <t xml:space="preserve">Amount (INR)</t>
  </si>
  <si>
    <t xml:space="preserve">Status</t>
  </si>
  <si>
    <t xml:space="preserve">Gateway Ref</t>
  </si>
  <si>
    <t xml:space="preserve">156819</t>
  </si>
  <si>
    <t xml:space="preserve">MasterCard</t>
  </si>
  <si>
    <t xml:space="preserve">2057</t>
  </si>
  <si>
    <t xml:space="preserve">2026-07-17</t>
  </si>
  <si>
    <t xml:space="preserve">CAPTURED</t>
  </si>
  <si>
    <t xml:space="preserve">PGREF861151</t>
  </si>
  <si>
    <t xml:space="preserve">229222</t>
  </si>
  <si>
    <t xml:space="preserve">5808</t>
  </si>
  <si>
    <t xml:space="preserve">2026-07-09</t>
  </si>
  <si>
    <t xml:space="preserve">PGREF702289</t>
  </si>
  <si>
    <t xml:space="preserve">686319</t>
  </si>
  <si>
    <t xml:space="preserve">VISA</t>
  </si>
  <si>
    <t xml:space="preserve">2770</t>
  </si>
  <si>
    <t xml:space="preserve">2026-07-14</t>
  </si>
  <si>
    <t xml:space="preserve">PGREF129679</t>
  </si>
  <si>
    <t xml:space="preserve">707074</t>
  </si>
  <si>
    <t xml:space="preserve">RuPay</t>
  </si>
  <si>
    <t xml:space="preserve">7793</t>
  </si>
  <si>
    <t xml:space="preserve">2026-07-18</t>
  </si>
  <si>
    <t xml:space="preserve">PGREF973381</t>
  </si>
  <si>
    <t xml:space="preserve">519182</t>
  </si>
  <si>
    <t xml:space="preserve">3833</t>
  </si>
  <si>
    <t xml:space="preserve">PGREF111026</t>
  </si>
  <si>
    <t xml:space="preserve">869917</t>
  </si>
  <si>
    <t xml:space="preserve">4790</t>
  </si>
  <si>
    <t xml:space="preserve">2026-07-31</t>
  </si>
  <si>
    <t xml:space="preserve">PGREF593637</t>
  </si>
  <si>
    <t xml:space="preserve">139316</t>
  </si>
  <si>
    <t xml:space="preserve">2979</t>
  </si>
  <si>
    <t xml:space="preserve">2026-07-26</t>
  </si>
  <si>
    <t xml:space="preserve">PGREF792769</t>
  </si>
  <si>
    <t xml:space="preserve">815188</t>
  </si>
  <si>
    <t xml:space="preserve">8906</t>
  </si>
  <si>
    <t xml:space="preserve">2026-07-22</t>
  </si>
  <si>
    <t xml:space="preserve">REFUNDED</t>
  </si>
  <si>
    <t xml:space="preserve">PGREF746352</t>
  </si>
  <si>
    <t xml:space="preserve">366183</t>
  </si>
  <si>
    <t xml:space="preserve">4256</t>
  </si>
  <si>
    <t xml:space="preserve">2026-07-05</t>
  </si>
  <si>
    <t xml:space="preserve">PGREF485395</t>
  </si>
  <si>
    <t xml:space="preserve">279073</t>
  </si>
  <si>
    <t xml:space="preserve">6069</t>
  </si>
  <si>
    <t xml:space="preserve">2026-07-08</t>
  </si>
  <si>
    <t xml:space="preserve">PGREF188376</t>
  </si>
  <si>
    <t xml:space="preserve">445159</t>
  </si>
  <si>
    <t xml:space="preserve">7711</t>
  </si>
  <si>
    <t xml:space="preserve">2026-07-21</t>
  </si>
  <si>
    <t xml:space="preserve">PGREF453199</t>
  </si>
  <si>
    <t xml:space="preserve">968895</t>
  </si>
  <si>
    <t xml:space="preserve">8470</t>
  </si>
  <si>
    <t xml:space="preserve">2026-07-30</t>
  </si>
  <si>
    <t xml:space="preserve">PGREF713747</t>
  </si>
  <si>
    <t xml:space="preserve">433379</t>
  </si>
  <si>
    <t xml:space="preserve">6899</t>
  </si>
  <si>
    <t xml:space="preserve">2026-07-28</t>
  </si>
  <si>
    <t xml:space="preserve">DECLINED</t>
  </si>
  <si>
    <t xml:space="preserve">PGREF289960</t>
  </si>
  <si>
    <t xml:space="preserve">579342</t>
  </si>
  <si>
    <t xml:space="preserve">5536</t>
  </si>
  <si>
    <t xml:space="preserve">2026-07-11</t>
  </si>
  <si>
    <t xml:space="preserve">PGREF753080</t>
  </si>
  <si>
    <t xml:space="preserve">915751</t>
  </si>
  <si>
    <t xml:space="preserve">5346</t>
  </si>
  <si>
    <t xml:space="preserve">2026-07-03</t>
  </si>
  <si>
    <t xml:space="preserve">PGREF889884</t>
  </si>
  <si>
    <t xml:space="preserve">416140</t>
  </si>
  <si>
    <t xml:space="preserve">2925</t>
  </si>
  <si>
    <t xml:space="preserve">2026-07-04</t>
  </si>
  <si>
    <t xml:space="preserve">PGREF464693</t>
  </si>
  <si>
    <t xml:space="preserve">988517</t>
  </si>
  <si>
    <t xml:space="preserve">9952</t>
  </si>
  <si>
    <t xml:space="preserve">PGREF641789</t>
  </si>
  <si>
    <t xml:space="preserve">367753</t>
  </si>
  <si>
    <t xml:space="preserve">6358</t>
  </si>
  <si>
    <t xml:space="preserve">PGREF979714</t>
  </si>
  <si>
    <t xml:space="preserve">906290</t>
  </si>
  <si>
    <t xml:space="preserve">2566</t>
  </si>
  <si>
    <t xml:space="preserve">2026-07-12</t>
  </si>
  <si>
    <t xml:space="preserve">PGREF263396</t>
  </si>
  <si>
    <t xml:space="preserve">447825</t>
  </si>
  <si>
    <t xml:space="preserve">9080</t>
  </si>
  <si>
    <t xml:space="preserve">PGREF522648</t>
  </si>
  <si>
    <t xml:space="preserve">566038</t>
  </si>
  <si>
    <t xml:space="preserve">3381</t>
  </si>
  <si>
    <t xml:space="preserve">PGREF671596</t>
  </si>
  <si>
    <t xml:space="preserve">360209</t>
  </si>
  <si>
    <t xml:space="preserve">2741</t>
  </si>
  <si>
    <t xml:space="preserve">2026-07-07</t>
  </si>
  <si>
    <t xml:space="preserve">PGREF442141</t>
  </si>
  <si>
    <t xml:space="preserve">822637</t>
  </si>
  <si>
    <t xml:space="preserve">6736</t>
  </si>
  <si>
    <t xml:space="preserve">2026-07-06</t>
  </si>
  <si>
    <t xml:space="preserve">PGREF529601</t>
  </si>
  <si>
    <t xml:space="preserve">694091</t>
  </si>
  <si>
    <t xml:space="preserve">3090</t>
  </si>
  <si>
    <t xml:space="preserve">2026-07-19</t>
  </si>
  <si>
    <t xml:space="preserve">PGREF552246</t>
  </si>
  <si>
    <t xml:space="preserve">102089</t>
  </si>
  <si>
    <t xml:space="preserve">2042</t>
  </si>
  <si>
    <t xml:space="preserve">PGREF485872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</si>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</sst>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5132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51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51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2016.91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8</v>
      </c>
      <c r="C3" s="2" t="s">
        <v>14</v>
      </c>
      <c r="D3" s="2" t="s">
        <v>15</v>
      </c>
      <c r="E3" s="3" t="n">
        <v>2017.19</v>
      </c>
      <c r="F3" s="2" t="s">
        <v>11</v>
      </c>
      <c r="G3" s="2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3" t="n">
        <v>46825</v>
      </c>
      <c r="F4" s="2" t="s">
        <v>11</v>
      </c>
      <c r="G4" s="2" t="s">
        <v>21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3" t="n">
        <v>15444.15</v>
      </c>
      <c r="F5" s="2" t="s">
        <v>11</v>
      </c>
      <c r="G5" s="2" t="s">
        <v>26</v>
      </c>
    </row>
    <row r="6" customFormat="false" ht="15" hidden="false" customHeight="false" outlineLevel="0" collapsed="false">
      <c r="A6" s="2" t="s">
        <v>27</v>
      </c>
      <c r="B6" s="2" t="s">
        <v>23</v>
      </c>
      <c r="C6" s="2" t="s">
        <v>28</v>
      </c>
      <c r="D6" s="2" t="s">
        <v>20</v>
      </c>
      <c r="E6" s="3" t="n">
        <v>322.91</v>
      </c>
      <c r="F6" s="2" t="s">
        <v>11</v>
      </c>
      <c r="G6" s="2" t="s">
        <v>29</v>
      </c>
    </row>
    <row r="7" customFormat="false" ht="15" hidden="false" customHeight="false" outlineLevel="0" collapsed="false">
      <c r="A7" s="2" t="s">
        <v>30</v>
      </c>
      <c r="B7" s="2" t="s">
        <v>23</v>
      </c>
      <c r="C7" s="2" t="s">
        <v>31</v>
      </c>
      <c r="D7" s="2" t="s">
        <v>32</v>
      </c>
      <c r="E7" s="3" t="n">
        <v>18559.72</v>
      </c>
      <c r="F7" s="2" t="s">
        <v>11</v>
      </c>
      <c r="G7" s="2" t="s">
        <v>33</v>
      </c>
    </row>
    <row r="8" customFormat="false" ht="15" hidden="false" customHeight="false" outlineLevel="0" collapsed="false">
      <c r="A8" s="2" t="s">
        <v>34</v>
      </c>
      <c r="B8" s="2" t="s">
        <v>18</v>
      </c>
      <c r="C8" s="2" t="s">
        <v>35</v>
      </c>
      <c r="D8" s="2" t="s">
        <v>36</v>
      </c>
      <c r="E8" s="3" t="n">
        <v>1264.96</v>
      </c>
      <c r="F8" s="2" t="s">
        <v>11</v>
      </c>
      <c r="G8" s="2" t="s">
        <v>37</v>
      </c>
    </row>
    <row r="9" customFormat="false" ht="15" hidden="false" customHeight="false" outlineLevel="0" collapsed="false">
      <c r="A9" s="2" t="s">
        <v>38</v>
      </c>
      <c r="B9" s="2" t="s">
        <v>8</v>
      </c>
      <c r="C9" s="2" t="s">
        <v>39</v>
      </c>
      <c r="D9" s="2" t="s">
        <v>40</v>
      </c>
      <c r="E9" s="3" t="n">
        <v>-795.5</v>
      </c>
      <c r="F9" s="2" t="s">
        <v>41</v>
      </c>
      <c r="G9" s="2" t="s">
        <v>42</v>
      </c>
    </row>
    <row r="10" customFormat="false" ht="15" hidden="false" customHeight="false" outlineLevel="0" collapsed="false">
      <c r="A10" s="2" t="s">
        <v>43</v>
      </c>
      <c r="B10" s="2" t="s">
        <v>8</v>
      </c>
      <c r="C10" s="2" t="s">
        <v>44</v>
      </c>
      <c r="D10" s="2" t="s">
        <v>45</v>
      </c>
      <c r="E10" s="3" t="n">
        <v>-570.33</v>
      </c>
      <c r="F10" s="2" t="s">
        <v>41</v>
      </c>
      <c r="G10" s="2" t="s">
        <v>46</v>
      </c>
    </row>
    <row r="11" customFormat="false" ht="15" hidden="false" customHeight="false" outlineLevel="0" collapsed="false">
      <c r="A11" s="2" t="s">
        <v>47</v>
      </c>
      <c r="B11" s="2" t="s">
        <v>23</v>
      </c>
      <c r="C11" s="2" t="s">
        <v>48</v>
      </c>
      <c r="D11" s="2" t="s">
        <v>49</v>
      </c>
      <c r="E11" s="3" t="n">
        <v>42546.68</v>
      </c>
      <c r="F11" s="2" t="s">
        <v>11</v>
      </c>
      <c r="G11" s="2" t="s">
        <v>50</v>
      </c>
    </row>
    <row r="12" customFormat="false" ht="15" hidden="false" customHeight="false" outlineLevel="0" collapsed="false">
      <c r="A12" s="2" t="s">
        <v>51</v>
      </c>
      <c r="B12" s="2" t="s">
        <v>23</v>
      </c>
      <c r="C12" s="2" t="s">
        <v>52</v>
      </c>
      <c r="D12" s="2" t="s">
        <v>53</v>
      </c>
      <c r="E12" s="3" t="n">
        <v>1978.1</v>
      </c>
      <c r="F12" s="2" t="s">
        <v>11</v>
      </c>
      <c r="G12" s="2" t="s">
        <v>54</v>
      </c>
    </row>
    <row r="13" customFormat="false" ht="15" hidden="false" customHeight="false" outlineLevel="0" collapsed="false">
      <c r="A13" s="2" t="s">
        <v>55</v>
      </c>
      <c r="B13" s="2" t="s">
        <v>8</v>
      </c>
      <c r="C13" s="2" t="s">
        <v>56</v>
      </c>
      <c r="D13" s="2" t="s">
        <v>57</v>
      </c>
      <c r="E13" s="3" t="n">
        <v>1874.04</v>
      </c>
      <c r="F13" s="2" t="s">
        <v>11</v>
      </c>
      <c r="G13" s="2" t="s">
        <v>58</v>
      </c>
    </row>
    <row r="14" customFormat="false" ht="15" hidden="false" customHeight="false" outlineLevel="0" collapsed="false">
      <c r="A14" s="2" t="s">
        <v>59</v>
      </c>
      <c r="B14" s="2" t="s">
        <v>23</v>
      </c>
      <c r="C14" s="2" t="s">
        <v>60</v>
      </c>
      <c r="D14" s="2" t="s">
        <v>61</v>
      </c>
      <c r="E14" s="3" t="n">
        <v>2133.91</v>
      </c>
      <c r="F14" s="2" t="s">
        <v>62</v>
      </c>
      <c r="G14" s="2" t="s">
        <v>63</v>
      </c>
    </row>
    <row r="15" customFormat="false" ht="15" hidden="false" customHeight="false" outlineLevel="0" collapsed="false">
      <c r="A15" s="2" t="s">
        <v>64</v>
      </c>
      <c r="B15" s="2" t="s">
        <v>23</v>
      </c>
      <c r="C15" s="2" t="s">
        <v>65</v>
      </c>
      <c r="D15" s="2" t="s">
        <v>66</v>
      </c>
      <c r="E15" s="3" t="n">
        <v>19925.78</v>
      </c>
      <c r="F15" s="2" t="s">
        <v>11</v>
      </c>
      <c r="G15" s="2" t="s">
        <v>67</v>
      </c>
    </row>
    <row r="16" customFormat="false" ht="15" hidden="false" customHeight="false" outlineLevel="0" collapsed="false">
      <c r="A16" s="2" t="s">
        <v>68</v>
      </c>
      <c r="B16" s="2" t="s">
        <v>8</v>
      </c>
      <c r="C16" s="2" t="s">
        <v>69</v>
      </c>
      <c r="D16" s="2" t="s">
        <v>70</v>
      </c>
      <c r="E16" s="3" t="n">
        <v>2852.46</v>
      </c>
      <c r="F16" s="2" t="s">
        <v>11</v>
      </c>
      <c r="G16" s="2" t="s">
        <v>71</v>
      </c>
    </row>
    <row r="17" customFormat="false" ht="15" hidden="false" customHeight="false" outlineLevel="0" collapsed="false">
      <c r="A17" s="2" t="s">
        <v>72</v>
      </c>
      <c r="B17" s="2" t="s">
        <v>23</v>
      </c>
      <c r="C17" s="2" t="s">
        <v>73</v>
      </c>
      <c r="D17" s="2" t="s">
        <v>74</v>
      </c>
      <c r="E17" s="3" t="n">
        <v>1007.49</v>
      </c>
      <c r="F17" s="2" t="s">
        <v>11</v>
      </c>
      <c r="G17" s="2" t="s">
        <v>75</v>
      </c>
    </row>
    <row r="18" customFormat="false" ht="15" hidden="false" customHeight="false" outlineLevel="0" collapsed="false">
      <c r="A18" s="2" t="s">
        <v>76</v>
      </c>
      <c r="B18" s="2" t="s">
        <v>23</v>
      </c>
      <c r="C18" s="2" t="s">
        <v>77</v>
      </c>
      <c r="D18" s="2" t="s">
        <v>40</v>
      </c>
      <c r="E18" s="3" t="n">
        <v>3190.87</v>
      </c>
      <c r="F18" s="2" t="s">
        <v>11</v>
      </c>
      <c r="G18" s="2" t="s">
        <v>78</v>
      </c>
    </row>
    <row r="19" customFormat="false" ht="15" hidden="false" customHeight="false" outlineLevel="0" collapsed="false">
      <c r="A19" s="2" t="s">
        <v>79</v>
      </c>
      <c r="B19" s="2" t="s">
        <v>8</v>
      </c>
      <c r="C19" s="2" t="s">
        <v>80</v>
      </c>
      <c r="D19" s="2" t="s">
        <v>36</v>
      </c>
      <c r="E19" s="3" t="n">
        <v>-1294.25</v>
      </c>
      <c r="F19" s="2" t="s">
        <v>41</v>
      </c>
      <c r="G19" s="2" t="s">
        <v>81</v>
      </c>
    </row>
    <row r="20" customFormat="false" ht="15" hidden="false" customHeight="false" outlineLevel="0" collapsed="false">
      <c r="A20" s="2" t="s">
        <v>82</v>
      </c>
      <c r="B20" s="2" t="s">
        <v>18</v>
      </c>
      <c r="C20" s="2" t="s">
        <v>83</v>
      </c>
      <c r="D20" s="2" t="s">
        <v>84</v>
      </c>
      <c r="E20" s="3" t="n">
        <v>754.27</v>
      </c>
      <c r="F20" s="2" t="s">
        <v>11</v>
      </c>
      <c r="G20" s="2" t="s">
        <v>85</v>
      </c>
    </row>
    <row r="21" customFormat="false" ht="15" hidden="false" customHeight="false" outlineLevel="0" collapsed="false">
      <c r="A21" s="2" t="s">
        <v>86</v>
      </c>
      <c r="B21" s="2" t="s">
        <v>8</v>
      </c>
      <c r="C21" s="2" t="s">
        <v>87</v>
      </c>
      <c r="D21" s="2" t="s">
        <v>49</v>
      </c>
      <c r="E21" s="3" t="n">
        <v>1831.2</v>
      </c>
      <c r="F21" s="2" t="s">
        <v>11</v>
      </c>
      <c r="G21" s="2" t="s">
        <v>88</v>
      </c>
    </row>
    <row r="22" customFormat="false" ht="15" hidden="false" customHeight="false" outlineLevel="0" collapsed="false">
      <c r="A22" s="2" t="s">
        <v>89</v>
      </c>
      <c r="B22" s="2" t="s">
        <v>8</v>
      </c>
      <c r="C22" s="2" t="s">
        <v>90</v>
      </c>
      <c r="D22" s="2" t="s">
        <v>66</v>
      </c>
      <c r="E22" s="3" t="n">
        <v>23187.98</v>
      </c>
      <c r="F22" s="2" t="s">
        <v>11</v>
      </c>
      <c r="G22" s="2" t="s">
        <v>91</v>
      </c>
    </row>
    <row r="23" customFormat="false" ht="15" hidden="false" customHeight="false" outlineLevel="0" collapsed="false">
      <c r="A23" s="2" t="s">
        <v>92</v>
      </c>
      <c r="B23" s="2" t="s">
        <v>18</v>
      </c>
      <c r="C23" s="2" t="s">
        <v>93</v>
      </c>
      <c r="D23" s="2" t="s">
        <v>94</v>
      </c>
      <c r="E23" s="3" t="n">
        <v>42171.3</v>
      </c>
      <c r="F23" s="2" t="s">
        <v>11</v>
      </c>
      <c r="G23" s="2" t="s">
        <v>95</v>
      </c>
    </row>
    <row r="24" customFormat="false" ht="15" hidden="false" customHeight="false" outlineLevel="0" collapsed="false">
      <c r="A24" s="2" t="s">
        <v>96</v>
      </c>
      <c r="B24" s="2" t="s">
        <v>8</v>
      </c>
      <c r="C24" s="2" t="s">
        <v>97</v>
      </c>
      <c r="D24" s="2" t="s">
        <v>98</v>
      </c>
      <c r="E24" s="3" t="n">
        <v>34391.4</v>
      </c>
      <c r="F24" s="2" t="s">
        <v>11</v>
      </c>
      <c r="G24" s="2" t="s">
        <v>99</v>
      </c>
    </row>
    <row r="25" customFormat="false" ht="15" hidden="false" customHeight="false" outlineLevel="0" collapsed="false">
      <c r="A25" s="2" t="s">
        <v>100</v>
      </c>
      <c r="B25" s="2" t="s">
        <v>23</v>
      </c>
      <c r="C25" s="2" t="s">
        <v>101</v>
      </c>
      <c r="D25" s="2" t="s">
        <v>102</v>
      </c>
      <c r="E25" s="3" t="n">
        <v>1612.85</v>
      </c>
      <c r="F25" s="2" t="s">
        <v>11</v>
      </c>
      <c r="G25" s="2" t="s">
        <v>103</v>
      </c>
    </row>
    <row r="26" customFormat="false" ht="15" hidden="false" customHeight="false" outlineLevel="0" collapsed="false">
      <c r="A26" s="2" t="s">
        <v>104</v>
      </c>
      <c r="B26" s="2" t="s">
        <v>8</v>
      </c>
      <c r="C26" s="2" t="s">
        <v>105</v>
      </c>
      <c r="D26" s="2" t="s">
        <v>10</v>
      </c>
      <c r="E26" s="3" t="n">
        <v>2294.71</v>
      </c>
      <c r="F26" s="2" t="s">
        <v>11</v>
      </c>
      <c r="G26" s="2" t="s">
        <v>106</v>
      </c>
    </row>
    <row r="27" customFormat="false" ht="15" hidden="false" customHeight="false" outlineLevel="0" collapsed="false">
      <c r="A27" s="4" t="s">
        <v>107</v>
      </c>
      <c r="E27" s="5" t="n">
        <f aca="false">SUM(E2:E26)</f>
        <v>265543.8</v>
      </c>
    </row>
  </sheetData>
  <autoFilter ref="A1:G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2026-08-25T13:47:58Z</dcterms:created>
  <dc:creator>openpyxl</dc:creator>
  <dc:description/>
  <dc:language>en-US</dc:language>
  <cp:lastModifiedBy/>
  <dcterms:modified xsi:type="dcterms:W3CDTF">2026-08-25T13:47:58Z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