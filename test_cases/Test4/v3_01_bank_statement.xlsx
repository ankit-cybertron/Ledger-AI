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Statement" sheetId="1" state="visible" r:id="rId3"/>
  </sheets>
  <definedNames>
    <definedName function="false" hidden="true" localSheetId="0" name="_xlnm._FilterDatabase" vbProcedure="false">'Bank Statement'!$A$1:$H$16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<sst xmlns="http://schemas.openxmlformats.org/spreadsheetml/2006/main" count="84" uniqueCount="50">
  <si>
    <t xml:space="preserve">Txn Date</t>
  </si>
  <si>
    <t xml:space="preserve">Value Date</t>
  </si>
  <si>
    <t xml:space="preserve">UTR / Reference No</t>
  </si>
  <si>
    <t xml:space="preserve">Description</t>
  </si>
  <si>
    <t xml:space="preserve">Debit (INR)</t>
  </si>
  <si>
    <t xml:space="preserve">Credit (INR)</t>
  </si>
  <si>
    <t xml:space="preserve">Type</t>
  </si>
  <si>
    <t xml:space="preserve">Balance (INR)</t>
  </si>
  <si>
    <t xml:space="preserve">2026-07-09</t>
  </si>
  <si>
    <t xml:space="preserve">UTR392655586978</t>
  </si>
  <si>
    <t xml:space="preserve">NEFT-CR-SUNRISETRADERS</t>
  </si>
  <si>
    <t xml:space="preserve">NEFT Transfer</t>
  </si>
  <si>
    <t xml:space="preserve">2026-07-12</t>
  </si>
  <si>
    <t xml:space="preserve">UTR225232942083</t>
  </si>
  <si>
    <t xml:space="preserve">BANK CHARGES - AMC</t>
  </si>
  <si>
    <t xml:space="preserve">Charge</t>
  </si>
  <si>
    <t xml:space="preserve">2026-07-08</t>
  </si>
  <si>
    <t xml:space="preserve">UTR996353098764</t>
  </si>
  <si>
    <t xml:space="preserve">NEFT-DR-REFUND-OMPROVISIONS</t>
  </si>
  <si>
    <t xml:space="preserve">NEFT Refund</t>
  </si>
  <si>
    <t xml:space="preserve">2026-07-27</t>
  </si>
  <si>
    <t xml:space="preserve">UTR714767492142</t>
  </si>
  <si>
    <t xml:space="preserve">NEFT-CR-GREENBASKETRETAIL</t>
  </si>
  <si>
    <t xml:space="preserve">2026-07-05</t>
  </si>
  <si>
    <t xml:space="preserve">UTR305090523217</t>
  </si>
  <si>
    <t xml:space="preserve">NEFT-CR-METROKIRANA</t>
  </si>
  <si>
    <t xml:space="preserve">2026-07-03</t>
  </si>
  <si>
    <t xml:space="preserve">UTR679199894238</t>
  </si>
  <si>
    <t xml:space="preserve">UTR395448441185</t>
  </si>
  <si>
    <t xml:space="preserve">REVERSAL-CHARGEBACK</t>
  </si>
  <si>
    <t xml:space="preserve">Adjustment</t>
  </si>
  <si>
    <t xml:space="preserve">2026-07-26</t>
  </si>
  <si>
    <t xml:space="preserve">UTR166885278212</t>
  </si>
  <si>
    <t xml:space="preserve">UTR225393487718</t>
  </si>
  <si>
    <t xml:space="preserve">AGGREGATOR SETTLEMENT - RETAIL COUNTER BATCH</t>
  </si>
  <si>
    <t xml:space="preserve">Settlement</t>
  </si>
  <si>
    <t xml:space="preserve">2026-07-21</t>
  </si>
  <si>
    <t xml:space="preserve">UTR341809442661</t>
  </si>
  <si>
    <t xml:space="preserve">NEFT-CR-OMPROVISIONS</t>
  </si>
  <si>
    <t xml:space="preserve">2026-07-14</t>
  </si>
  <si>
    <t xml:space="preserve">UTR308473820252</t>
  </si>
  <si>
    <t xml:space="preserve">2026-07-20</t>
  </si>
  <si>
    <t xml:space="preserve">UTR793133970789</t>
  </si>
  <si>
    <t xml:space="preserve">2026-07-24</t>
  </si>
  <si>
    <t xml:space="preserve">UTR718251647335</t>
  </si>
  <si>
    <t xml:space="preserve">2026-07-16</t>
  </si>
  <si>
    <t xml:space="preserve">UTR882309592178</t>
  </si>
  <si>
    <t xml:space="preserve">UTR131902574347</t>
  </si>
  <si>
    <t xml:space="preserve">NEFT-UNKNOWN CREDIT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</si>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</sst>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5132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51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51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8</v>
      </c>
      <c r="C2" s="2" t="s">
        <v>9</v>
      </c>
      <c r="D2" s="2" t="s">
        <v>10</v>
      </c>
      <c r="E2" s="3"/>
      <c r="F2" s="3" t="n">
        <v>61635.44</v>
      </c>
      <c r="G2" s="2" t="s">
        <v>11</v>
      </c>
      <c r="H2" s="3" t="n">
        <v>580813.15</v>
      </c>
    </row>
    <row r="3" customFormat="false" ht="15" hidden="false" customHeight="false" outlineLevel="0" collapsed="false">
      <c r="A3" s="2" t="s">
        <v>12</v>
      </c>
      <c r="B3" s="2" t="s">
        <v>12</v>
      </c>
      <c r="C3" s="2" t="s">
        <v>13</v>
      </c>
      <c r="D3" s="2" t="s">
        <v>14</v>
      </c>
      <c r="E3" s="3" t="n">
        <v>7541.79</v>
      </c>
      <c r="F3" s="3"/>
      <c r="G3" s="2" t="s">
        <v>15</v>
      </c>
      <c r="H3" s="3" t="n">
        <v>169503.36</v>
      </c>
    </row>
    <row r="4" customFormat="false" ht="15" hidden="false" customHeight="false" outlineLevel="0" collapsed="false">
      <c r="A4" s="2" t="s">
        <v>16</v>
      </c>
      <c r="B4" s="2" t="s">
        <v>16</v>
      </c>
      <c r="C4" s="2" t="s">
        <v>17</v>
      </c>
      <c r="D4" s="2" t="s">
        <v>18</v>
      </c>
      <c r="E4" s="3" t="n">
        <v>8436.74</v>
      </c>
      <c r="F4" s="3"/>
      <c r="G4" s="2" t="s">
        <v>19</v>
      </c>
      <c r="H4" s="3" t="n">
        <v>504791.55</v>
      </c>
    </row>
    <row r="5" customFormat="false" ht="15" hidden="false" customHeight="false" outlineLevel="0" collapsed="false">
      <c r="A5" s="2" t="s">
        <v>20</v>
      </c>
      <c r="B5" s="2" t="s">
        <v>20</v>
      </c>
      <c r="C5" s="2" t="s">
        <v>21</v>
      </c>
      <c r="D5" s="2" t="s">
        <v>22</v>
      </c>
      <c r="E5" s="3"/>
      <c r="F5" s="3" t="n">
        <v>57807.04</v>
      </c>
      <c r="G5" s="2" t="s">
        <v>11</v>
      </c>
      <c r="H5" s="3" t="n">
        <v>432815.43</v>
      </c>
    </row>
    <row r="6" customFormat="false" ht="15" hidden="false" customHeight="false" outlineLevel="0" collapsed="false">
      <c r="A6" s="2" t="s">
        <v>23</v>
      </c>
      <c r="B6" s="2" t="s">
        <v>23</v>
      </c>
      <c r="C6" s="2" t="s">
        <v>24</v>
      </c>
      <c r="D6" s="2" t="s">
        <v>25</v>
      </c>
      <c r="E6" s="3"/>
      <c r="F6" s="3" t="n">
        <v>18634.61</v>
      </c>
      <c r="G6" s="2" t="s">
        <v>11</v>
      </c>
      <c r="H6" s="3" t="n">
        <v>433561.7</v>
      </c>
    </row>
    <row r="7" customFormat="false" ht="15" hidden="false" customHeight="false" outlineLevel="0" collapsed="false">
      <c r="A7" s="2" t="s">
        <v>26</v>
      </c>
      <c r="B7" s="2" t="s">
        <v>26</v>
      </c>
      <c r="C7" s="2" t="s">
        <v>27</v>
      </c>
      <c r="D7" s="2" t="s">
        <v>22</v>
      </c>
      <c r="E7" s="3"/>
      <c r="F7" s="3" t="n">
        <v>19951.2</v>
      </c>
      <c r="G7" s="2" t="s">
        <v>11</v>
      </c>
      <c r="H7" s="3" t="n">
        <v>145772.49</v>
      </c>
    </row>
    <row r="8" customFormat="false" ht="15" hidden="false" customHeight="false" outlineLevel="0" collapsed="false">
      <c r="A8" s="2" t="s">
        <v>23</v>
      </c>
      <c r="B8" s="2" t="s">
        <v>23</v>
      </c>
      <c r="C8" s="2" t="s">
        <v>28</v>
      </c>
      <c r="D8" s="2" t="s">
        <v>29</v>
      </c>
      <c r="E8" s="3"/>
      <c r="F8" s="3" t="n">
        <v>10981.31</v>
      </c>
      <c r="G8" s="2" t="s">
        <v>30</v>
      </c>
      <c r="H8" s="3" t="n">
        <v>229300.65</v>
      </c>
    </row>
    <row r="9" customFormat="false" ht="15" hidden="false" customHeight="false" outlineLevel="0" collapsed="false">
      <c r="A9" s="2" t="s">
        <v>31</v>
      </c>
      <c r="B9" s="2" t="s">
        <v>31</v>
      </c>
      <c r="C9" s="2" t="s">
        <v>32</v>
      </c>
      <c r="D9" s="2" t="s">
        <v>22</v>
      </c>
      <c r="E9" s="3"/>
      <c r="F9" s="3" t="n">
        <v>53446.98</v>
      </c>
      <c r="G9" s="2" t="s">
        <v>11</v>
      </c>
      <c r="H9" s="3" t="n">
        <v>496963.57</v>
      </c>
    </row>
    <row r="10" customFormat="false" ht="15" hidden="false" customHeight="false" outlineLevel="0" collapsed="false">
      <c r="A10" s="2" t="s">
        <v>26</v>
      </c>
      <c r="B10" s="2" t="s">
        <v>26</v>
      </c>
      <c r="C10" s="2" t="s">
        <v>33</v>
      </c>
      <c r="D10" s="2" t="s">
        <v>34</v>
      </c>
      <c r="E10" s="3"/>
      <c r="F10" s="3" t="n">
        <v>92561.73</v>
      </c>
      <c r="G10" s="2" t="s">
        <v>35</v>
      </c>
      <c r="H10" s="3" t="n">
        <v>473147.51</v>
      </c>
    </row>
    <row r="11" customFormat="false" ht="15" hidden="false" customHeight="false" outlineLevel="0" collapsed="false">
      <c r="A11" s="2" t="s">
        <v>36</v>
      </c>
      <c r="B11" s="2" t="s">
        <v>36</v>
      </c>
      <c r="C11" s="2" t="s">
        <v>37</v>
      </c>
      <c r="D11" s="2" t="s">
        <v>38</v>
      </c>
      <c r="E11" s="3"/>
      <c r="F11" s="3" t="n">
        <v>60005.69</v>
      </c>
      <c r="G11" s="2" t="s">
        <v>11</v>
      </c>
      <c r="H11" s="3" t="n">
        <v>347580.27</v>
      </c>
    </row>
    <row r="12" customFormat="false" ht="15" hidden="false" customHeight="false" outlineLevel="0" collapsed="false">
      <c r="A12" s="2" t="s">
        <v>39</v>
      </c>
      <c r="B12" s="2" t="s">
        <v>39</v>
      </c>
      <c r="C12" s="2" t="s">
        <v>40</v>
      </c>
      <c r="D12" s="2" t="s">
        <v>25</v>
      </c>
      <c r="E12" s="3"/>
      <c r="F12" s="3" t="n">
        <v>38364.06</v>
      </c>
      <c r="G12" s="2" t="s">
        <v>11</v>
      </c>
      <c r="H12" s="3" t="n">
        <v>159036.25</v>
      </c>
    </row>
    <row r="13" customFormat="false" ht="15" hidden="false" customHeight="false" outlineLevel="0" collapsed="false">
      <c r="A13" s="2" t="s">
        <v>41</v>
      </c>
      <c r="B13" s="2" t="s">
        <v>41</v>
      </c>
      <c r="C13" s="2" t="s">
        <v>42</v>
      </c>
      <c r="D13" s="2" t="s">
        <v>10</v>
      </c>
      <c r="E13" s="3"/>
      <c r="F13" s="3" t="n">
        <v>51281.44</v>
      </c>
      <c r="G13" s="2" t="s">
        <v>11</v>
      </c>
      <c r="H13" s="3" t="n">
        <v>135309.41</v>
      </c>
    </row>
    <row r="14" customFormat="false" ht="15" hidden="false" customHeight="false" outlineLevel="0" collapsed="false">
      <c r="A14" s="2" t="s">
        <v>43</v>
      </c>
      <c r="B14" s="2" t="s">
        <v>43</v>
      </c>
      <c r="C14" s="2" t="s">
        <v>44</v>
      </c>
      <c r="D14" s="2" t="s">
        <v>34</v>
      </c>
      <c r="E14" s="3"/>
      <c r="F14" s="3" t="n">
        <v>56572.52</v>
      </c>
      <c r="G14" s="2" t="s">
        <v>35</v>
      </c>
      <c r="H14" s="3" t="n">
        <v>395436.54</v>
      </c>
    </row>
    <row r="15" customFormat="false" ht="15" hidden="false" customHeight="false" outlineLevel="0" collapsed="false">
      <c r="A15" s="2" t="s">
        <v>45</v>
      </c>
      <c r="B15" s="2" t="s">
        <v>45</v>
      </c>
      <c r="C15" s="2" t="s">
        <v>46</v>
      </c>
      <c r="D15" s="2" t="s">
        <v>10</v>
      </c>
      <c r="E15" s="3"/>
      <c r="F15" s="3" t="n">
        <v>31187.37</v>
      </c>
      <c r="G15" s="2" t="s">
        <v>11</v>
      </c>
      <c r="H15" s="3" t="n">
        <v>344283.75</v>
      </c>
    </row>
    <row r="16" customFormat="false" ht="15" hidden="false" customHeight="false" outlineLevel="0" collapsed="false">
      <c r="A16" s="2" t="s">
        <v>36</v>
      </c>
      <c r="B16" s="2" t="s">
        <v>36</v>
      </c>
      <c r="C16" s="2" t="s">
        <v>47</v>
      </c>
      <c r="D16" s="2" t="s">
        <v>48</v>
      </c>
      <c r="E16" s="3"/>
      <c r="F16" s="3" t="n">
        <v>10813.87</v>
      </c>
      <c r="G16" s="2" t="s">
        <v>30</v>
      </c>
      <c r="H16" s="3" t="n">
        <v>364389.79</v>
      </c>
    </row>
    <row r="17" customFormat="false" ht="15" hidden="false" customHeight="false" outlineLevel="0" collapsed="false">
      <c r="A17" s="4" t="s">
        <v>49</v>
      </c>
      <c r="E17" s="5" t="n">
        <f aca="false">SUM(E2:E16)</f>
        <v>15978.53</v>
      </c>
      <c r="F17" s="5" t="n">
        <f aca="false">SUM(F2:F16)</f>
        <v>563243.26</v>
      </c>
      <c r="H17" s="5" t="n">
        <f aca="false">SUM(H2:H16)</f>
        <v>5212705.42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2026-08-25T13:47:58Z</dcterms:created>
  <dc:creator>openpyxl</dc:creator>
  <dc:description/>
  <dc:language>en-US</dc:language>
  <cp:lastModifiedBy/>
  <dcterms:modified xsi:type="dcterms:W3CDTF">2026-08-25T13:47:58Z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