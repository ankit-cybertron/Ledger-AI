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Statement" sheetId="1" state="visible" r:id="rId3"/>
  </sheets>
  <definedNames>
    <definedName function="false" hidden="true" localSheetId="0" name="_xlnm._FilterDatabase" vbProcedure="false">'Bank Statement'!$A$1:$H$14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<sst xmlns="http://schemas.openxmlformats.org/spreadsheetml/2006/main" count="74" uniqueCount="49">
  <si>
    <t xml:space="preserve">Txn Date</t>
  </si>
  <si>
    <t xml:space="preserve">Value Date</t>
  </si>
  <si>
    <t xml:space="preserve">UTR / Reference No</t>
  </si>
  <si>
    <t xml:space="preserve">Description</t>
  </si>
  <si>
    <t xml:space="preserve">Debit (INR)</t>
  </si>
  <si>
    <t xml:space="preserve">Credit (INR)</t>
  </si>
  <si>
    <t xml:space="preserve">Type</t>
  </si>
  <si>
    <t xml:space="preserve">Balance (INR)</t>
  </si>
  <si>
    <t xml:space="preserve">2026-07-27</t>
  </si>
  <si>
    <t xml:space="preserve">UTR218242398173</t>
  </si>
  <si>
    <t xml:space="preserve">NEFT-CR-NAINATALWAR</t>
  </si>
  <si>
    <t xml:space="preserve">NEFT Transfer</t>
  </si>
  <si>
    <t xml:space="preserve">2026-08-08</t>
  </si>
  <si>
    <t xml:space="preserve">UTR828067113431</t>
  </si>
  <si>
    <t xml:space="preserve">NEFT-CR-HARSHVARDHAN</t>
  </si>
  <si>
    <t xml:space="preserve">2026-07-11</t>
  </si>
  <si>
    <t xml:space="preserve">UTR112790183691</t>
  </si>
  <si>
    <t xml:space="preserve">NEFT-UNKNOWN CREDIT</t>
  </si>
  <si>
    <t xml:space="preserve">Adjustment</t>
  </si>
  <si>
    <t xml:space="preserve">2026-07-25</t>
  </si>
  <si>
    <t xml:space="preserve">UTR164339399508</t>
  </si>
  <si>
    <t xml:space="preserve">NEFT-CR-MANAVCHUGH</t>
  </si>
  <si>
    <t xml:space="preserve">2026-08-09</t>
  </si>
  <si>
    <t xml:space="preserve">UTR897413148929</t>
  </si>
  <si>
    <t xml:space="preserve">NEFT-CR-SANYAKAPOOR</t>
  </si>
  <si>
    <t xml:space="preserve">UTR251113786540</t>
  </si>
  <si>
    <t xml:space="preserve">NEFT-CR-ZOYASIDDIQUI</t>
  </si>
  <si>
    <t xml:space="preserve">UTR668163047993</t>
  </si>
  <si>
    <t xml:space="preserve">BANK CHARGES - AMC</t>
  </si>
  <si>
    <t xml:space="preserve">Charge</t>
  </si>
  <si>
    <t xml:space="preserve">2026-07-29</t>
  </si>
  <si>
    <t xml:space="preserve">UTR398235977635</t>
  </si>
  <si>
    <t xml:space="preserve">NEFT-CR-RAJEEVBAKSHI</t>
  </si>
  <si>
    <t xml:space="preserve">2026-07-13</t>
  </si>
  <si>
    <t xml:space="preserve">UTR467567156492</t>
  </si>
  <si>
    <t xml:space="preserve">RAZORPAY SETTLEMENT BATCH 2</t>
  </si>
  <si>
    <t xml:space="preserve">Settlement</t>
  </si>
  <si>
    <t xml:space="preserve">2026-08-03</t>
  </si>
  <si>
    <t xml:space="preserve">UTR301320421069</t>
  </si>
  <si>
    <t xml:space="preserve">REVERSAL-CHARGEBACK</t>
  </si>
  <si>
    <t xml:space="preserve">2026-07-07</t>
  </si>
  <si>
    <t xml:space="preserve">UTR524971960828</t>
  </si>
  <si>
    <t xml:space="preserve">NEFT-CR-YUSUFMERCHANT</t>
  </si>
  <si>
    <t xml:space="preserve">2026-07-16</t>
  </si>
  <si>
    <t xml:space="preserve">UTR215256385481</t>
  </si>
  <si>
    <t xml:space="preserve">NEFT-CR-DEVANSHOBEROI</t>
  </si>
  <si>
    <t xml:space="preserve">UTR550585953330</t>
  </si>
  <si>
    <t xml:space="preserve">RAZORPAY SETTLEMENT BATCH 1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</si>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</sst>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4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A1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A1B4D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8</v>
      </c>
      <c r="C2" s="2" t="s">
        <v>9</v>
      </c>
      <c r="D2" s="2" t="s">
        <v>10</v>
      </c>
      <c r="E2" s="3"/>
      <c r="F2" s="3" t="n">
        <v>27519.04</v>
      </c>
      <c r="G2" s="2" t="s">
        <v>11</v>
      </c>
      <c r="H2" s="3" t="n">
        <v>370850.25</v>
      </c>
    </row>
    <row r="3" customFormat="false" ht="15" hidden="false" customHeight="false" outlineLevel="0" collapsed="false">
      <c r="A3" s="2" t="s">
        <v>12</v>
      </c>
      <c r="B3" s="2" t="s">
        <v>12</v>
      </c>
      <c r="C3" s="2" t="s">
        <v>13</v>
      </c>
      <c r="D3" s="2" t="s">
        <v>14</v>
      </c>
      <c r="E3" s="3"/>
      <c r="F3" s="3" t="n">
        <v>20902</v>
      </c>
      <c r="G3" s="2" t="s">
        <v>11</v>
      </c>
      <c r="H3" s="3" t="n">
        <v>269567.32</v>
      </c>
    </row>
    <row r="4" customFormat="false" ht="15" hidden="false" customHeight="false" outlineLevel="0" collapsed="false">
      <c r="A4" s="2" t="s">
        <v>15</v>
      </c>
      <c r="B4" s="2" t="s">
        <v>15</v>
      </c>
      <c r="C4" s="2" t="s">
        <v>16</v>
      </c>
      <c r="D4" s="2" t="s">
        <v>17</v>
      </c>
      <c r="E4" s="3"/>
      <c r="F4" s="3" t="n">
        <v>2354.87</v>
      </c>
      <c r="G4" s="2" t="s">
        <v>18</v>
      </c>
      <c r="H4" s="3" t="n">
        <v>219945.49</v>
      </c>
    </row>
    <row r="5" customFormat="false" ht="15" hidden="false" customHeight="false" outlineLevel="0" collapsed="false">
      <c r="A5" s="2" t="s">
        <v>19</v>
      </c>
      <c r="B5" s="2" t="s">
        <v>19</v>
      </c>
      <c r="C5" s="2" t="s">
        <v>20</v>
      </c>
      <c r="D5" s="2" t="s">
        <v>21</v>
      </c>
      <c r="E5" s="3"/>
      <c r="F5" s="3" t="n">
        <v>46728.71</v>
      </c>
      <c r="G5" s="2" t="s">
        <v>11</v>
      </c>
      <c r="H5" s="3" t="n">
        <v>253984.62</v>
      </c>
    </row>
    <row r="6" customFormat="false" ht="15" hidden="false" customHeight="false" outlineLevel="0" collapsed="false">
      <c r="A6" s="2" t="s">
        <v>22</v>
      </c>
      <c r="B6" s="2" t="s">
        <v>22</v>
      </c>
      <c r="C6" s="2" t="s">
        <v>23</v>
      </c>
      <c r="D6" s="2" t="s">
        <v>24</v>
      </c>
      <c r="E6" s="3"/>
      <c r="F6" s="3" t="n">
        <v>30980.83</v>
      </c>
      <c r="G6" s="2" t="s">
        <v>11</v>
      </c>
      <c r="H6" s="3" t="n">
        <v>339785.17</v>
      </c>
    </row>
    <row r="7" customFormat="false" ht="15" hidden="false" customHeight="false" outlineLevel="0" collapsed="false">
      <c r="A7" s="2" t="s">
        <v>15</v>
      </c>
      <c r="B7" s="2" t="s">
        <v>15</v>
      </c>
      <c r="C7" s="2" t="s">
        <v>25</v>
      </c>
      <c r="D7" s="2" t="s">
        <v>26</v>
      </c>
      <c r="E7" s="3"/>
      <c r="F7" s="3" t="n">
        <v>35331.52</v>
      </c>
      <c r="G7" s="2" t="s">
        <v>11</v>
      </c>
      <c r="H7" s="3" t="n">
        <v>133546.09</v>
      </c>
    </row>
    <row r="8" customFormat="false" ht="15" hidden="false" customHeight="false" outlineLevel="0" collapsed="false">
      <c r="A8" s="2" t="s">
        <v>19</v>
      </c>
      <c r="B8" s="2" t="s">
        <v>19</v>
      </c>
      <c r="C8" s="2" t="s">
        <v>27</v>
      </c>
      <c r="D8" s="2" t="s">
        <v>28</v>
      </c>
      <c r="E8" s="3" t="n">
        <v>8685.7</v>
      </c>
      <c r="F8" s="3"/>
      <c r="G8" s="2" t="s">
        <v>29</v>
      </c>
      <c r="H8" s="3" t="n">
        <v>472256.13</v>
      </c>
    </row>
    <row r="9" customFormat="false" ht="15" hidden="false" customHeight="false" outlineLevel="0" collapsed="false">
      <c r="A9" s="2" t="s">
        <v>30</v>
      </c>
      <c r="B9" s="2" t="s">
        <v>30</v>
      </c>
      <c r="C9" s="2" t="s">
        <v>31</v>
      </c>
      <c r="D9" s="2" t="s">
        <v>32</v>
      </c>
      <c r="E9" s="3"/>
      <c r="F9" s="3" t="n">
        <v>41432.97</v>
      </c>
      <c r="G9" s="2" t="s">
        <v>11</v>
      </c>
      <c r="H9" s="3" t="n">
        <v>216027.71</v>
      </c>
    </row>
    <row r="10" customFormat="false" ht="15" hidden="false" customHeight="false" outlineLevel="0" collapsed="false">
      <c r="A10" s="2" t="s">
        <v>33</v>
      </c>
      <c r="B10" s="2" t="s">
        <v>33</v>
      </c>
      <c r="C10" s="2" t="s">
        <v>34</v>
      </c>
      <c r="D10" s="2" t="s">
        <v>35</v>
      </c>
      <c r="E10" s="3"/>
      <c r="F10" s="3" t="n">
        <v>140842.09</v>
      </c>
      <c r="G10" s="2" t="s">
        <v>36</v>
      </c>
      <c r="H10" s="3" t="n">
        <v>207705.06</v>
      </c>
    </row>
    <row r="11" customFormat="false" ht="15" hidden="false" customHeight="false" outlineLevel="0" collapsed="false">
      <c r="A11" s="2" t="s">
        <v>37</v>
      </c>
      <c r="B11" s="2" t="s">
        <v>37</v>
      </c>
      <c r="C11" s="2" t="s">
        <v>38</v>
      </c>
      <c r="D11" s="2" t="s">
        <v>39</v>
      </c>
      <c r="E11" s="3"/>
      <c r="F11" s="3" t="n">
        <v>13333.83</v>
      </c>
      <c r="G11" s="2" t="s">
        <v>18</v>
      </c>
      <c r="H11" s="3" t="n">
        <v>162880.82</v>
      </c>
    </row>
    <row r="12" customFormat="false" ht="15" hidden="false" customHeight="false" outlineLevel="0" collapsed="false">
      <c r="A12" s="2" t="s">
        <v>40</v>
      </c>
      <c r="B12" s="2" t="s">
        <v>40</v>
      </c>
      <c r="C12" s="2" t="s">
        <v>41</v>
      </c>
      <c r="D12" s="2" t="s">
        <v>42</v>
      </c>
      <c r="E12" s="3"/>
      <c r="F12" s="3" t="n">
        <v>1484.92</v>
      </c>
      <c r="G12" s="2" t="s">
        <v>11</v>
      </c>
      <c r="H12" s="3" t="n">
        <v>69563.22</v>
      </c>
    </row>
    <row r="13" customFormat="false" ht="15" hidden="false" customHeight="false" outlineLevel="0" collapsed="false">
      <c r="A13" s="2" t="s">
        <v>43</v>
      </c>
      <c r="B13" s="2" t="s">
        <v>43</v>
      </c>
      <c r="C13" s="2" t="s">
        <v>44</v>
      </c>
      <c r="D13" s="2" t="s">
        <v>45</v>
      </c>
      <c r="E13" s="3"/>
      <c r="F13" s="3" t="n">
        <v>6873.25</v>
      </c>
      <c r="G13" s="2" t="s">
        <v>11</v>
      </c>
      <c r="H13" s="3" t="n">
        <v>462558.65</v>
      </c>
    </row>
    <row r="14" customFormat="false" ht="15" hidden="false" customHeight="false" outlineLevel="0" collapsed="false">
      <c r="A14" s="2" t="s">
        <v>15</v>
      </c>
      <c r="B14" s="2" t="s">
        <v>15</v>
      </c>
      <c r="C14" s="2" t="s">
        <v>46</v>
      </c>
      <c r="D14" s="2" t="s">
        <v>47</v>
      </c>
      <c r="E14" s="3"/>
      <c r="F14" s="3" t="n">
        <v>176287.23</v>
      </c>
      <c r="G14" s="2" t="s">
        <v>36</v>
      </c>
      <c r="H14" s="3" t="n">
        <v>160730.86</v>
      </c>
    </row>
    <row r="15" customFormat="false" ht="15" hidden="false" customHeight="false" outlineLevel="0" collapsed="false">
      <c r="A15" s="4" t="s">
        <v>48</v>
      </c>
      <c r="E15" s="5" t="n">
        <f aca="false">SUM(E2:E14)</f>
        <v>8685.7</v>
      </c>
      <c r="F15" s="5" t="n">
        <f aca="false">SUM(F2:F14)</f>
        <v>544071.26</v>
      </c>
      <c r="H15" s="5" t="n">
        <f aca="false">SUM(H2:H14)</f>
        <v>3339401.39</v>
      </c>
    </row>
  </sheetData>
  <autoFilter ref="A1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2026-08-25T04:35:31Z</dcterms:created>
  <dc:creator>openpyxl</dc:creator>
  <dc:description/>
  <dc:language>en-US</dc:language>
  <cp:lastModifiedBy/>
  <dcterms:modified xsi:type="dcterms:W3CDTF">2026-08-25T04:35:31Z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