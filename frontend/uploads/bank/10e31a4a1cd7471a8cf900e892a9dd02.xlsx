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Statement" sheetId="1" state="visible" r:id="rId3"/>
  </sheets>
  <definedNames>
    <definedName function="false" hidden="true" localSheetId="0" name="_xlnm._FilterDatabase" vbProcedure="false">'Bank Statement'!$A$1:$H$19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<sst xmlns="http://schemas.openxmlformats.org/spreadsheetml/2006/main" count="99" uniqueCount="65">
  <si>
    <t xml:space="preserve">Txn Date</t>
  </si>
  <si>
    <t xml:space="preserve">Value Date</t>
  </si>
  <si>
    <t xml:space="preserve">UTR / Reference No</t>
  </si>
  <si>
    <t xml:space="preserve">Description</t>
  </si>
  <si>
    <t xml:space="preserve">Debit (INR)</t>
  </si>
  <si>
    <t xml:space="preserve">Credit (INR)</t>
  </si>
  <si>
    <t xml:space="preserve">Type</t>
  </si>
  <si>
    <t xml:space="preserve">Balance (INR)</t>
  </si>
  <si>
    <t xml:space="preserve">2026-06-11</t>
  </si>
  <si>
    <t xml:space="preserve">UTR390013653941</t>
  </si>
  <si>
    <t xml:space="preserve">RAZORPAY SETTLEMENT BATCH 1</t>
  </si>
  <si>
    <t xml:space="preserve">Settlement</t>
  </si>
  <si>
    <t xml:space="preserve">2026-06-06</t>
  </si>
  <si>
    <t xml:space="preserve">UTR241704338575</t>
  </si>
  <si>
    <t xml:space="preserve">NEFT-CR-ANANYANAIR</t>
  </si>
  <si>
    <t xml:space="preserve">NEFT Transfer</t>
  </si>
  <si>
    <t xml:space="preserve">2026-07-08</t>
  </si>
  <si>
    <t xml:space="preserve">UTR164987466619</t>
  </si>
  <si>
    <t xml:space="preserve">NEFT-CR-KAVYAPILLAI</t>
  </si>
  <si>
    <t xml:space="preserve">2026-07-13</t>
  </si>
  <si>
    <t xml:space="preserve">UTR561780971572</t>
  </si>
  <si>
    <t xml:space="preserve">NEFT-CR-YASHTRIVEDI</t>
  </si>
  <si>
    <t xml:space="preserve">2026-06-20</t>
  </si>
  <si>
    <t xml:space="preserve">UTR445212747285</t>
  </si>
  <si>
    <t xml:space="preserve">BANK CHARGES - AMC</t>
  </si>
  <si>
    <t xml:space="preserve">Charge</t>
  </si>
  <si>
    <t xml:space="preserve">2026-07-15</t>
  </si>
  <si>
    <t xml:space="preserve">UTR849436128201</t>
  </si>
  <si>
    <t xml:space="preserve">RAZORPAY SETTLEMENT BATCH 6</t>
  </si>
  <si>
    <t xml:space="preserve">2026-07-09</t>
  </si>
  <si>
    <t xml:space="preserve">UTR531584687817</t>
  </si>
  <si>
    <t xml:space="preserve">RAZORPAY SETTLEMENT BATCH 5</t>
  </si>
  <si>
    <t xml:space="preserve">2026-06-18</t>
  </si>
  <si>
    <t xml:space="preserve">UTR761994498018</t>
  </si>
  <si>
    <t xml:space="preserve">RAZORPAY SETTLEMENT BATCH 2</t>
  </si>
  <si>
    <t xml:space="preserve">UTR885044013168</t>
  </si>
  <si>
    <t xml:space="preserve">NEFT-CR-ARJUNMENON</t>
  </si>
  <si>
    <t xml:space="preserve">2026-06-25</t>
  </si>
  <si>
    <t xml:space="preserve">UTR407127718381</t>
  </si>
  <si>
    <t xml:space="preserve">RAZORPAY SETTLEMENT BATCH 3</t>
  </si>
  <si>
    <t xml:space="preserve">2026-07-11</t>
  </si>
  <si>
    <t xml:space="preserve">UTR821164519235</t>
  </si>
  <si>
    <t xml:space="preserve">NEFT-CR-RITUCHAWLA</t>
  </si>
  <si>
    <t xml:space="preserve">2026-07-12</t>
  </si>
  <si>
    <t xml:space="preserve">UTR823591853229</t>
  </si>
  <si>
    <t xml:space="preserve">NEFT-CR-DEEPAKSINHA</t>
  </si>
  <si>
    <t xml:space="preserve">2026-06-22</t>
  </si>
  <si>
    <t xml:space="preserve">UTR537395650328</t>
  </si>
  <si>
    <t xml:space="preserve">NEFT-UNKNOWN CREDIT</t>
  </si>
  <si>
    <t xml:space="preserve">Adjustment</t>
  </si>
  <si>
    <t xml:space="preserve">2026-06-10</t>
  </si>
  <si>
    <t xml:space="preserve">UTR130971191036</t>
  </si>
  <si>
    <t xml:space="preserve">NEFT-CR-KARANMALHOTRA</t>
  </si>
  <si>
    <t xml:space="preserve">UTR898738891307</t>
  </si>
  <si>
    <t xml:space="preserve">NEFT-CR-NISHAPATEL</t>
  </si>
  <si>
    <t xml:space="preserve">2026-06-28</t>
  </si>
  <si>
    <t xml:space="preserve">UTR980840883459</t>
  </si>
  <si>
    <t xml:space="preserve">NEFT-CR-SIDDHARTHJAIN</t>
  </si>
  <si>
    <t xml:space="preserve">2026-06-13</t>
  </si>
  <si>
    <t xml:space="preserve">UTR376122730029</t>
  </si>
  <si>
    <t xml:space="preserve">REVERSAL-CHARGEBACK</t>
  </si>
  <si>
    <t xml:space="preserve">2026-07-04</t>
  </si>
  <si>
    <t xml:space="preserve">UTR502452768109</t>
  </si>
  <si>
    <t xml:space="preserve">RAZORPAY SETTLEMENT BATCH 4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</si>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</sst>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8</v>
      </c>
      <c r="C2" s="2" t="s">
        <v>9</v>
      </c>
      <c r="D2" s="2" t="s">
        <v>10</v>
      </c>
      <c r="E2" s="3"/>
      <c r="F2" s="3" t="n">
        <v>110256.26</v>
      </c>
      <c r="G2" s="2" t="s">
        <v>11</v>
      </c>
      <c r="H2" s="3" t="n">
        <v>478733.15</v>
      </c>
    </row>
    <row r="3" customFormat="false" ht="15" hidden="false" customHeight="false" outlineLevel="0" collapsed="false">
      <c r="A3" s="2" t="s">
        <v>12</v>
      </c>
      <c r="B3" s="2" t="s">
        <v>12</v>
      </c>
      <c r="C3" s="2" t="s">
        <v>13</v>
      </c>
      <c r="D3" s="2" t="s">
        <v>14</v>
      </c>
      <c r="E3" s="3"/>
      <c r="F3" s="3" t="n">
        <v>19765.97</v>
      </c>
      <c r="G3" s="2" t="s">
        <v>15</v>
      </c>
      <c r="H3" s="3" t="n">
        <v>180315</v>
      </c>
    </row>
    <row r="4" customFormat="false" ht="15" hidden="false" customHeight="false" outlineLevel="0" collapsed="false">
      <c r="A4" s="2" t="s">
        <v>16</v>
      </c>
      <c r="B4" s="2" t="s">
        <v>16</v>
      </c>
      <c r="C4" s="2" t="s">
        <v>17</v>
      </c>
      <c r="D4" s="2" t="s">
        <v>18</v>
      </c>
      <c r="E4" s="3"/>
      <c r="F4" s="3" t="n">
        <v>24555.27</v>
      </c>
      <c r="G4" s="2" t="s">
        <v>15</v>
      </c>
      <c r="H4" s="3" t="n">
        <v>83575.79</v>
      </c>
    </row>
    <row r="5" customFormat="false" ht="15" hidden="false" customHeight="false" outlineLevel="0" collapsed="false">
      <c r="A5" s="2" t="s">
        <v>19</v>
      </c>
      <c r="B5" s="2" t="s">
        <v>19</v>
      </c>
      <c r="C5" s="2" t="s">
        <v>20</v>
      </c>
      <c r="D5" s="2" t="s">
        <v>21</v>
      </c>
      <c r="E5" s="3"/>
      <c r="F5" s="3" t="n">
        <v>43589.69</v>
      </c>
      <c r="G5" s="2" t="s">
        <v>15</v>
      </c>
      <c r="H5" s="3" t="n">
        <v>113783.31</v>
      </c>
    </row>
    <row r="6" customFormat="false" ht="15" hidden="false" customHeight="false" outlineLevel="0" collapsed="false">
      <c r="A6" s="2" t="s">
        <v>22</v>
      </c>
      <c r="B6" s="2" t="s">
        <v>22</v>
      </c>
      <c r="C6" s="2" t="s">
        <v>23</v>
      </c>
      <c r="D6" s="2" t="s">
        <v>24</v>
      </c>
      <c r="E6" s="3" t="n">
        <v>6359.48</v>
      </c>
      <c r="F6" s="3"/>
      <c r="G6" s="2" t="s">
        <v>25</v>
      </c>
      <c r="H6" s="3" t="n">
        <v>104409.21</v>
      </c>
    </row>
    <row r="7" customFormat="false" ht="15" hidden="false" customHeight="false" outlineLevel="0" collapsed="false">
      <c r="A7" s="2" t="s">
        <v>26</v>
      </c>
      <c r="B7" s="2" t="s">
        <v>26</v>
      </c>
      <c r="C7" s="2" t="s">
        <v>27</v>
      </c>
      <c r="D7" s="2" t="s">
        <v>28</v>
      </c>
      <c r="E7" s="3"/>
      <c r="F7" s="3" t="n">
        <v>21992.41</v>
      </c>
      <c r="G7" s="2" t="s">
        <v>11</v>
      </c>
      <c r="H7" s="3" t="n">
        <v>252842.14</v>
      </c>
    </row>
    <row r="8" customFormat="false" ht="15" hidden="false" customHeight="false" outlineLevel="0" collapsed="false">
      <c r="A8" s="2" t="s">
        <v>29</v>
      </c>
      <c r="B8" s="2" t="s">
        <v>29</v>
      </c>
      <c r="C8" s="2" t="s">
        <v>30</v>
      </c>
      <c r="D8" s="2" t="s">
        <v>31</v>
      </c>
      <c r="E8" s="3"/>
      <c r="F8" s="3" t="n">
        <v>93813.79</v>
      </c>
      <c r="G8" s="2" t="s">
        <v>11</v>
      </c>
      <c r="H8" s="3" t="n">
        <v>61175.48</v>
      </c>
    </row>
    <row r="9" customFormat="false" ht="15" hidden="false" customHeight="false" outlineLevel="0" collapsed="false">
      <c r="A9" s="2" t="s">
        <v>32</v>
      </c>
      <c r="B9" s="2" t="s">
        <v>32</v>
      </c>
      <c r="C9" s="2" t="s">
        <v>33</v>
      </c>
      <c r="D9" s="2" t="s">
        <v>34</v>
      </c>
      <c r="E9" s="3"/>
      <c r="F9" s="3" t="n">
        <v>159535.34</v>
      </c>
      <c r="G9" s="2" t="s">
        <v>11</v>
      </c>
      <c r="H9" s="3" t="n">
        <v>419097.65</v>
      </c>
    </row>
    <row r="10" customFormat="false" ht="15" hidden="false" customHeight="false" outlineLevel="0" collapsed="false">
      <c r="A10" s="2" t="s">
        <v>19</v>
      </c>
      <c r="B10" s="2" t="s">
        <v>19</v>
      </c>
      <c r="C10" s="2" t="s">
        <v>35</v>
      </c>
      <c r="D10" s="2" t="s">
        <v>36</v>
      </c>
      <c r="E10" s="3"/>
      <c r="F10" s="3" t="n">
        <v>4568.45</v>
      </c>
      <c r="G10" s="2" t="s">
        <v>15</v>
      </c>
      <c r="H10" s="3" t="n">
        <v>190253.6</v>
      </c>
    </row>
    <row r="11" customFormat="false" ht="15" hidden="false" customHeight="false" outlineLevel="0" collapsed="false">
      <c r="A11" s="2" t="s">
        <v>37</v>
      </c>
      <c r="B11" s="2" t="s">
        <v>37</v>
      </c>
      <c r="C11" s="2" t="s">
        <v>38</v>
      </c>
      <c r="D11" s="2" t="s">
        <v>39</v>
      </c>
      <c r="E11" s="3"/>
      <c r="F11" s="3" t="n">
        <v>211140.92</v>
      </c>
      <c r="G11" s="2" t="s">
        <v>11</v>
      </c>
      <c r="H11" s="3" t="n">
        <v>449087.97</v>
      </c>
    </row>
    <row r="12" customFormat="false" ht="15" hidden="false" customHeight="false" outlineLevel="0" collapsed="false">
      <c r="A12" s="2" t="s">
        <v>40</v>
      </c>
      <c r="B12" s="2" t="s">
        <v>40</v>
      </c>
      <c r="C12" s="2" t="s">
        <v>41</v>
      </c>
      <c r="D12" s="2" t="s">
        <v>42</v>
      </c>
      <c r="E12" s="3"/>
      <c r="F12" s="3" t="n">
        <v>23666.84</v>
      </c>
      <c r="G12" s="2" t="s">
        <v>15</v>
      </c>
      <c r="H12" s="3" t="n">
        <v>395226.39</v>
      </c>
    </row>
    <row r="13" customFormat="false" ht="15" hidden="false" customHeight="false" outlineLevel="0" collapsed="false">
      <c r="A13" s="2" t="s">
        <v>43</v>
      </c>
      <c r="B13" s="2" t="s">
        <v>43</v>
      </c>
      <c r="C13" s="2" t="s">
        <v>44</v>
      </c>
      <c r="D13" s="2" t="s">
        <v>45</v>
      </c>
      <c r="E13" s="3"/>
      <c r="F13" s="3" t="n">
        <v>43932.81</v>
      </c>
      <c r="G13" s="2" t="s">
        <v>15</v>
      </c>
      <c r="H13" s="3" t="n">
        <v>418953.96</v>
      </c>
    </row>
    <row r="14" customFormat="false" ht="15" hidden="false" customHeight="false" outlineLevel="0" collapsed="false">
      <c r="A14" s="2" t="s">
        <v>46</v>
      </c>
      <c r="B14" s="2" t="s">
        <v>46</v>
      </c>
      <c r="C14" s="2" t="s">
        <v>47</v>
      </c>
      <c r="D14" s="2" t="s">
        <v>48</v>
      </c>
      <c r="E14" s="3"/>
      <c r="F14" s="3" t="n">
        <v>11310.86</v>
      </c>
      <c r="G14" s="2" t="s">
        <v>49</v>
      </c>
      <c r="H14" s="3" t="n">
        <v>104018.61</v>
      </c>
    </row>
    <row r="15" customFormat="false" ht="15" hidden="false" customHeight="false" outlineLevel="0" collapsed="false">
      <c r="A15" s="2" t="s">
        <v>50</v>
      </c>
      <c r="B15" s="2" t="s">
        <v>50</v>
      </c>
      <c r="C15" s="2" t="s">
        <v>51</v>
      </c>
      <c r="D15" s="2" t="s">
        <v>52</v>
      </c>
      <c r="E15" s="3"/>
      <c r="F15" s="3" t="n">
        <v>36475.57</v>
      </c>
      <c r="G15" s="2" t="s">
        <v>15</v>
      </c>
      <c r="H15" s="3" t="n">
        <v>144426.75</v>
      </c>
    </row>
    <row r="16" customFormat="false" ht="15" hidden="false" customHeight="false" outlineLevel="0" collapsed="false">
      <c r="A16" s="2" t="s">
        <v>50</v>
      </c>
      <c r="B16" s="2" t="s">
        <v>50</v>
      </c>
      <c r="C16" s="2" t="s">
        <v>53</v>
      </c>
      <c r="D16" s="2" t="s">
        <v>54</v>
      </c>
      <c r="E16" s="3"/>
      <c r="F16" s="3" t="n">
        <v>26835.23</v>
      </c>
      <c r="G16" s="2" t="s">
        <v>15</v>
      </c>
      <c r="H16" s="3" t="n">
        <v>497285.13</v>
      </c>
    </row>
    <row r="17" customFormat="false" ht="15" hidden="false" customHeight="false" outlineLevel="0" collapsed="false">
      <c r="A17" s="2" t="s">
        <v>55</v>
      </c>
      <c r="B17" s="2" t="s">
        <v>55</v>
      </c>
      <c r="C17" s="2" t="s">
        <v>56</v>
      </c>
      <c r="D17" s="2" t="s">
        <v>57</v>
      </c>
      <c r="E17" s="3"/>
      <c r="F17" s="3" t="n">
        <v>43172.42</v>
      </c>
      <c r="G17" s="2" t="s">
        <v>15</v>
      </c>
      <c r="H17" s="3" t="n">
        <v>471314.45</v>
      </c>
    </row>
    <row r="18" customFormat="false" ht="15" hidden="false" customHeight="false" outlineLevel="0" collapsed="false">
      <c r="A18" s="2" t="s">
        <v>58</v>
      </c>
      <c r="B18" s="2" t="s">
        <v>58</v>
      </c>
      <c r="C18" s="2" t="s">
        <v>59</v>
      </c>
      <c r="D18" s="2" t="s">
        <v>60</v>
      </c>
      <c r="E18" s="3"/>
      <c r="F18" s="3" t="n">
        <v>13543.19</v>
      </c>
      <c r="G18" s="2" t="s">
        <v>49</v>
      </c>
      <c r="H18" s="3" t="n">
        <v>217499.9</v>
      </c>
    </row>
    <row r="19" customFormat="false" ht="15" hidden="false" customHeight="false" outlineLevel="0" collapsed="false">
      <c r="A19" s="2" t="s">
        <v>61</v>
      </c>
      <c r="B19" s="2" t="s">
        <v>61</v>
      </c>
      <c r="C19" s="2" t="s">
        <v>62</v>
      </c>
      <c r="D19" s="2" t="s">
        <v>63</v>
      </c>
      <c r="E19" s="3"/>
      <c r="F19" s="3" t="n">
        <v>192742.03</v>
      </c>
      <c r="G19" s="2" t="s">
        <v>11</v>
      </c>
      <c r="H19" s="3" t="n">
        <v>154122.62</v>
      </c>
    </row>
    <row r="20" customFormat="false" ht="15" hidden="false" customHeight="false" outlineLevel="0" collapsed="false">
      <c r="A20" s="4" t="s">
        <v>64</v>
      </c>
      <c r="E20" s="5" t="n">
        <f aca="false">SUM(E2:E19)</f>
        <v>6359.48</v>
      </c>
      <c r="F20" s="5" t="n">
        <f aca="false">SUM(F2:F19)</f>
        <v>1080897.05</v>
      </c>
      <c r="H20" s="5" t="n">
        <f aca="false">SUM(H2:H19)</f>
        <v>4736121.11</v>
      </c>
    </row>
  </sheetData>
  <autoFilter ref="A1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2026-08-24T18:29:43Z</dcterms:created>
  <dc:creator>openpyxl</dc:creator>
  <dc:description/>
  <dc:language>en-US</dc:language>
  <cp:lastModifiedBy/>
  <dcterms:modified xsi:type="dcterms:W3CDTF">2026-08-24T18:29:43Z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