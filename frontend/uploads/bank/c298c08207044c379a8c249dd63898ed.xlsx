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 Payment" sheetId="1" state="visible" r:id="rId3"/>
  </sheets>
  <definedNames>
    <definedName function="false" hidden="true" localSheetId="0" name="_xlnm._FilterDatabase" vbProcedure="false">'Card Payment'!$A$1:$G$16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<sst xmlns="http://schemas.openxmlformats.org/spreadsheetml/2006/main" count="98" uniqueCount="70">
  <si>
    <t xml:space="preserve">Auth Code</t>
  </si>
  <si>
    <t xml:space="preserve">Card Network</t>
  </si>
  <si>
    <t xml:space="preserve">Card Last 4</t>
  </si>
  <si>
    <t xml:space="preserve">Date</t>
  </si>
  <si>
    <t xml:space="preserve">Amount (INR)</t>
  </si>
  <si>
    <t xml:space="preserve">Status</t>
  </si>
  <si>
    <t xml:space="preserve">Gateway Ref</t>
  </si>
  <si>
    <t xml:space="preserve">106704</t>
  </si>
  <si>
    <t xml:space="preserve">VISA</t>
  </si>
  <si>
    <t xml:space="preserve">6849</t>
  </si>
  <si>
    <t xml:space="preserve">2026-07-26</t>
  </si>
  <si>
    <t xml:space="preserve">REFUNDED</t>
  </si>
  <si>
    <t xml:space="preserve">PGREF327306</t>
  </si>
  <si>
    <t xml:space="preserve">298474</t>
  </si>
  <si>
    <t xml:space="preserve">MasterCard</t>
  </si>
  <si>
    <t xml:space="preserve">2720</t>
  </si>
  <si>
    <t xml:space="preserve">2026-07-13</t>
  </si>
  <si>
    <t xml:space="preserve">CAPTURED</t>
  </si>
  <si>
    <t xml:space="preserve">PGREF721458</t>
  </si>
  <si>
    <t xml:space="preserve">619573</t>
  </si>
  <si>
    <t xml:space="preserve">8977</t>
  </si>
  <si>
    <t xml:space="preserve">DECLINED</t>
  </si>
  <si>
    <t xml:space="preserve">PGREF387053</t>
  </si>
  <si>
    <t xml:space="preserve">508206</t>
  </si>
  <si>
    <t xml:space="preserve">8691</t>
  </si>
  <si>
    <t xml:space="preserve">2026-07-22</t>
  </si>
  <si>
    <t xml:space="preserve">PGREF355008</t>
  </si>
  <si>
    <t xml:space="preserve">743017</t>
  </si>
  <si>
    <t xml:space="preserve">5511</t>
  </si>
  <si>
    <t xml:space="preserve">2026-07-03</t>
  </si>
  <si>
    <t xml:space="preserve">PGREF522486</t>
  </si>
  <si>
    <t xml:space="preserve">733819</t>
  </si>
  <si>
    <t xml:space="preserve">2410</t>
  </si>
  <si>
    <t xml:space="preserve">2026-07-04</t>
  </si>
  <si>
    <t xml:space="preserve">PGREF755022</t>
  </si>
  <si>
    <t xml:space="preserve">592368</t>
  </si>
  <si>
    <t xml:space="preserve">Amex</t>
  </si>
  <si>
    <t xml:space="preserve">7834</t>
  </si>
  <si>
    <t xml:space="preserve">PGREF213934</t>
  </si>
  <si>
    <t xml:space="preserve">234346</t>
  </si>
  <si>
    <t xml:space="preserve">3111</t>
  </si>
  <si>
    <t xml:space="preserve">2026-07-01</t>
  </si>
  <si>
    <t xml:space="preserve">PGREF215011</t>
  </si>
  <si>
    <t xml:space="preserve">685511</t>
  </si>
  <si>
    <t xml:space="preserve">3480</t>
  </si>
  <si>
    <t xml:space="preserve">2026-07-11</t>
  </si>
  <si>
    <t xml:space="preserve">PGREF935466</t>
  </si>
  <si>
    <t xml:space="preserve">113885</t>
  </si>
  <si>
    <t xml:space="preserve">8406</t>
  </si>
  <si>
    <t xml:space="preserve">2026-07-30</t>
  </si>
  <si>
    <t xml:space="preserve">PGREF799702</t>
  </si>
  <si>
    <t xml:space="preserve">387450</t>
  </si>
  <si>
    <t xml:space="preserve">8985</t>
  </si>
  <si>
    <t xml:space="preserve">PGREF883437</t>
  </si>
  <si>
    <t xml:space="preserve">445201</t>
  </si>
  <si>
    <t xml:space="preserve">4670</t>
  </si>
  <si>
    <t xml:space="preserve">2026-07-02</t>
  </si>
  <si>
    <t xml:space="preserve">PGREF376856</t>
  </si>
  <si>
    <t xml:space="preserve">164817</t>
  </si>
  <si>
    <t xml:space="preserve">5869</t>
  </si>
  <si>
    <t xml:space="preserve">PGREF402225</t>
  </si>
  <si>
    <t xml:space="preserve">153588</t>
  </si>
  <si>
    <t xml:space="preserve">8803</t>
  </si>
  <si>
    <t xml:space="preserve">2026-08-06</t>
  </si>
  <si>
    <t xml:space="preserve">PGREF225158</t>
  </si>
  <si>
    <t xml:space="preserve">782878</t>
  </si>
  <si>
    <t xml:space="preserve">3818</t>
  </si>
  <si>
    <t xml:space="preserve">2026-08-04</t>
  </si>
  <si>
    <t xml:space="preserve">PGREF865458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</si>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</sst>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A1B4D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A1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A1B4D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-4143.16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3" t="n">
        <v>2350.3</v>
      </c>
      <c r="F3" s="2" t="s">
        <v>17</v>
      </c>
      <c r="G3" s="2" t="s">
        <v>18</v>
      </c>
    </row>
    <row r="4" customFormat="false" ht="15" hidden="false" customHeight="false" outlineLevel="0" collapsed="false">
      <c r="A4" s="2" t="s">
        <v>19</v>
      </c>
      <c r="B4" s="2" t="s">
        <v>14</v>
      </c>
      <c r="C4" s="2" t="s">
        <v>20</v>
      </c>
      <c r="D4" s="2" t="s">
        <v>16</v>
      </c>
      <c r="E4" s="3" t="n">
        <v>48167.6</v>
      </c>
      <c r="F4" s="2" t="s">
        <v>21</v>
      </c>
      <c r="G4" s="2" t="s">
        <v>22</v>
      </c>
    </row>
    <row r="5" customFormat="false" ht="15" hidden="false" customHeight="false" outlineLevel="0" collapsed="false">
      <c r="A5" s="2" t="s">
        <v>23</v>
      </c>
      <c r="B5" s="2" t="s">
        <v>14</v>
      </c>
      <c r="C5" s="2" t="s">
        <v>24</v>
      </c>
      <c r="D5" s="2" t="s">
        <v>25</v>
      </c>
      <c r="E5" s="3" t="n">
        <v>12790.83</v>
      </c>
      <c r="F5" s="2" t="s">
        <v>17</v>
      </c>
      <c r="G5" s="2" t="s">
        <v>26</v>
      </c>
    </row>
    <row r="6" customFormat="false" ht="15" hidden="false" customHeight="false" outlineLevel="0" collapsed="false">
      <c r="A6" s="2" t="s">
        <v>27</v>
      </c>
      <c r="B6" s="2" t="s">
        <v>8</v>
      </c>
      <c r="C6" s="2" t="s">
        <v>28</v>
      </c>
      <c r="D6" s="2" t="s">
        <v>29</v>
      </c>
      <c r="E6" s="3" t="n">
        <v>29848.33</v>
      </c>
      <c r="F6" s="2" t="s">
        <v>17</v>
      </c>
      <c r="G6" s="2" t="s">
        <v>30</v>
      </c>
    </row>
    <row r="7" customFormat="false" ht="15" hidden="false" customHeight="false" outlineLevel="0" collapsed="false">
      <c r="A7" s="2" t="s">
        <v>31</v>
      </c>
      <c r="B7" s="2" t="s">
        <v>8</v>
      </c>
      <c r="C7" s="2" t="s">
        <v>32</v>
      </c>
      <c r="D7" s="2" t="s">
        <v>33</v>
      </c>
      <c r="E7" s="3" t="n">
        <v>45294.38</v>
      </c>
      <c r="F7" s="2" t="s">
        <v>21</v>
      </c>
      <c r="G7" s="2" t="s">
        <v>34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25</v>
      </c>
      <c r="E8" s="3" t="n">
        <v>4143.16</v>
      </c>
      <c r="F8" s="2" t="s">
        <v>17</v>
      </c>
      <c r="G8" s="2" t="s">
        <v>38</v>
      </c>
    </row>
    <row r="9" customFormat="false" ht="15" hidden="false" customHeight="false" outlineLevel="0" collapsed="false">
      <c r="A9" s="2" t="s">
        <v>39</v>
      </c>
      <c r="B9" s="2" t="s">
        <v>36</v>
      </c>
      <c r="C9" s="2" t="s">
        <v>40</v>
      </c>
      <c r="D9" s="2" t="s">
        <v>41</v>
      </c>
      <c r="E9" s="3" t="n">
        <v>48442.49</v>
      </c>
      <c r="F9" s="2" t="s">
        <v>17</v>
      </c>
      <c r="G9" s="2" t="s">
        <v>42</v>
      </c>
    </row>
    <row r="10" customFormat="false" ht="15" hidden="false" customHeight="false" outlineLevel="0" collapsed="false">
      <c r="A10" s="2" t="s">
        <v>43</v>
      </c>
      <c r="B10" s="2" t="s">
        <v>36</v>
      </c>
      <c r="C10" s="2" t="s">
        <v>44</v>
      </c>
      <c r="D10" s="2" t="s">
        <v>45</v>
      </c>
      <c r="E10" s="3" t="n">
        <v>20441.83</v>
      </c>
      <c r="F10" s="2" t="s">
        <v>17</v>
      </c>
      <c r="G10" s="2" t="s">
        <v>46</v>
      </c>
    </row>
    <row r="11" customFormat="false" ht="15" hidden="false" customHeight="false" outlineLevel="0" collapsed="false">
      <c r="A11" s="2" t="s">
        <v>47</v>
      </c>
      <c r="B11" s="2" t="s">
        <v>14</v>
      </c>
      <c r="C11" s="2" t="s">
        <v>48</v>
      </c>
      <c r="D11" s="2" t="s">
        <v>49</v>
      </c>
      <c r="E11" s="3" t="n">
        <v>26244.9</v>
      </c>
      <c r="F11" s="2" t="s">
        <v>17</v>
      </c>
      <c r="G11" s="2" t="s">
        <v>50</v>
      </c>
    </row>
    <row r="12" customFormat="false" ht="15" hidden="false" customHeight="false" outlineLevel="0" collapsed="false">
      <c r="A12" s="2" t="s">
        <v>51</v>
      </c>
      <c r="B12" s="2" t="s">
        <v>8</v>
      </c>
      <c r="C12" s="2" t="s">
        <v>52</v>
      </c>
      <c r="D12" s="2" t="s">
        <v>49</v>
      </c>
      <c r="E12" s="3" t="n">
        <v>17496.6</v>
      </c>
      <c r="F12" s="2" t="s">
        <v>17</v>
      </c>
      <c r="G12" s="2" t="s">
        <v>53</v>
      </c>
    </row>
    <row r="13" customFormat="false" ht="15" hidden="false" customHeight="false" outlineLevel="0" collapsed="false">
      <c r="A13" s="2" t="s">
        <v>54</v>
      </c>
      <c r="B13" s="2" t="s">
        <v>8</v>
      </c>
      <c r="C13" s="2" t="s">
        <v>55</v>
      </c>
      <c r="D13" s="2" t="s">
        <v>56</v>
      </c>
      <c r="E13" s="3" t="n">
        <v>16483.74</v>
      </c>
      <c r="F13" s="2" t="s">
        <v>21</v>
      </c>
      <c r="G13" s="2" t="s">
        <v>57</v>
      </c>
    </row>
    <row r="14" customFormat="false" ht="15" hidden="false" customHeight="false" outlineLevel="0" collapsed="false">
      <c r="A14" s="2" t="s">
        <v>58</v>
      </c>
      <c r="B14" s="2" t="s">
        <v>8</v>
      </c>
      <c r="C14" s="2" t="s">
        <v>59</v>
      </c>
      <c r="D14" s="2" t="s">
        <v>33</v>
      </c>
      <c r="E14" s="3" t="n">
        <v>35723.32</v>
      </c>
      <c r="F14" s="2" t="s">
        <v>17</v>
      </c>
      <c r="G14" s="2" t="s">
        <v>60</v>
      </c>
    </row>
    <row r="15" customFormat="false" ht="15" hidden="false" customHeight="false" outlineLevel="0" collapsed="false">
      <c r="A15" s="2" t="s">
        <v>61</v>
      </c>
      <c r="B15" s="2" t="s">
        <v>8</v>
      </c>
      <c r="C15" s="2" t="s">
        <v>62</v>
      </c>
      <c r="D15" s="2" t="s">
        <v>63</v>
      </c>
      <c r="E15" s="3" t="n">
        <v>17665.8</v>
      </c>
      <c r="F15" s="2" t="s">
        <v>17</v>
      </c>
      <c r="G15" s="2" t="s">
        <v>64</v>
      </c>
    </row>
    <row r="16" customFormat="false" ht="15" hidden="false" customHeight="false" outlineLevel="0" collapsed="false">
      <c r="A16" s="2" t="s">
        <v>65</v>
      </c>
      <c r="B16" s="2" t="s">
        <v>14</v>
      </c>
      <c r="C16" s="2" t="s">
        <v>66</v>
      </c>
      <c r="D16" s="2" t="s">
        <v>67</v>
      </c>
      <c r="E16" s="3" t="n">
        <v>38250.13</v>
      </c>
      <c r="F16" s="2" t="s">
        <v>17</v>
      </c>
      <c r="G16" s="2" t="s">
        <v>68</v>
      </c>
    </row>
    <row r="17" customFormat="false" ht="15" hidden="false" customHeight="false" outlineLevel="0" collapsed="false">
      <c r="A17" s="4" t="s">
        <v>69</v>
      </c>
      <c r="E17" s="5" t="n">
        <f aca="false">SUM(E2:E16)</f>
        <v>359200.25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2026-08-25T04:35:31Z</dcterms:created>
  <dc:creator>openpyxl</dc:creator>
  <dc:description/>
  <dc:language>en-US</dc:language>
  <cp:lastModifiedBy/>
  <dcterms:modified xsi:type="dcterms:W3CDTF">2026-08-25T04:35:31Z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