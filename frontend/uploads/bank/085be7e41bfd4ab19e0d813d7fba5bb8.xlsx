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d Payment" sheetId="1" state="visible" r:id="rId3"/>
  </sheets>
  <definedNames>
    <definedName function="false" hidden="true" localSheetId="0" name="_xlnm._FilterDatabase" vbProcedure="false">'Card Payment'!$A$1:$G$18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<sst xmlns="http://schemas.openxmlformats.org/spreadsheetml/2006/main" count="110" uniqueCount="81">
  <si>
    <t xml:space="preserve">Auth Code</t>
  </si>
  <si>
    <t xml:space="preserve">Card Network</t>
  </si>
  <si>
    <t xml:space="preserve">Card Last 4</t>
  </si>
  <si>
    <t xml:space="preserve">Date</t>
  </si>
  <si>
    <t xml:space="preserve">Amount (INR)</t>
  </si>
  <si>
    <t xml:space="preserve">Status</t>
  </si>
  <si>
    <t xml:space="preserve">Gateway Ref</t>
  </si>
  <si>
    <t xml:space="preserve">314301</t>
  </si>
  <si>
    <t xml:space="preserve">VISA</t>
  </si>
  <si>
    <t xml:space="preserve">8486</t>
  </si>
  <si>
    <t xml:space="preserve">2026-06-24</t>
  </si>
  <si>
    <t xml:space="preserve">CAPTURED</t>
  </si>
  <si>
    <t xml:space="preserve">PGREF936446</t>
  </si>
  <si>
    <t xml:space="preserve">658463</t>
  </si>
  <si>
    <t xml:space="preserve">RuPay</t>
  </si>
  <si>
    <t xml:space="preserve">2718</t>
  </si>
  <si>
    <t xml:space="preserve">2026-06-17</t>
  </si>
  <si>
    <t xml:space="preserve">PGREF494912</t>
  </si>
  <si>
    <t xml:space="preserve">728836</t>
  </si>
  <si>
    <t xml:space="preserve">6435</t>
  </si>
  <si>
    <t xml:space="preserve">2026-07-11</t>
  </si>
  <si>
    <t xml:space="preserve">DECLINED</t>
  </si>
  <si>
    <t xml:space="preserve">PGREF879319</t>
  </si>
  <si>
    <t xml:space="preserve">479324</t>
  </si>
  <si>
    <t xml:space="preserve">4767</t>
  </si>
  <si>
    <t xml:space="preserve">2026-07-01</t>
  </si>
  <si>
    <t xml:space="preserve">PGREF189225</t>
  </si>
  <si>
    <t xml:space="preserve">392991</t>
  </si>
  <si>
    <t xml:space="preserve">9707</t>
  </si>
  <si>
    <t xml:space="preserve">2026-06-15</t>
  </si>
  <si>
    <t xml:space="preserve">PGREF813728</t>
  </si>
  <si>
    <t xml:space="preserve">459279</t>
  </si>
  <si>
    <t xml:space="preserve">Amex</t>
  </si>
  <si>
    <t xml:space="preserve">9282</t>
  </si>
  <si>
    <t xml:space="preserve">2026-06-30</t>
  </si>
  <si>
    <t xml:space="preserve">PGREF246074</t>
  </si>
  <si>
    <t xml:space="preserve">729908</t>
  </si>
  <si>
    <t xml:space="preserve">MasterCard</t>
  </si>
  <si>
    <t xml:space="preserve">7381</t>
  </si>
  <si>
    <t xml:space="preserve">2026-06-04</t>
  </si>
  <si>
    <t xml:space="preserve">PGREF901438</t>
  </si>
  <si>
    <t xml:space="preserve">466497</t>
  </si>
  <si>
    <t xml:space="preserve">9016</t>
  </si>
  <si>
    <t xml:space="preserve">2026-06-13</t>
  </si>
  <si>
    <t xml:space="preserve">PGREF376606</t>
  </si>
  <si>
    <t xml:space="preserve">318054</t>
  </si>
  <si>
    <t xml:space="preserve">9096</t>
  </si>
  <si>
    <t xml:space="preserve">2026-06-01</t>
  </si>
  <si>
    <t xml:space="preserve">PGREF256723</t>
  </si>
  <si>
    <t xml:space="preserve">604913</t>
  </si>
  <si>
    <t xml:space="preserve">4814</t>
  </si>
  <si>
    <t xml:space="preserve">2026-07-14</t>
  </si>
  <si>
    <t xml:space="preserve">PGREF188586</t>
  </si>
  <si>
    <t xml:space="preserve">180467</t>
  </si>
  <si>
    <t xml:space="preserve">5707</t>
  </si>
  <si>
    <t xml:space="preserve">REFUNDED</t>
  </si>
  <si>
    <t xml:space="preserve">PGREF746944</t>
  </si>
  <si>
    <t xml:space="preserve">791325</t>
  </si>
  <si>
    <t xml:space="preserve">2082</t>
  </si>
  <si>
    <t xml:space="preserve">2026-06-05</t>
  </si>
  <si>
    <t xml:space="preserve">PGREF596876</t>
  </si>
  <si>
    <t xml:space="preserve">346190</t>
  </si>
  <si>
    <t xml:space="preserve">4362</t>
  </si>
  <si>
    <t xml:space="preserve">PGREF781503</t>
  </si>
  <si>
    <t xml:space="preserve">195431</t>
  </si>
  <si>
    <t xml:space="preserve">1685</t>
  </si>
  <si>
    <t xml:space="preserve">2026-07-05</t>
  </si>
  <si>
    <t xml:space="preserve">PGREF239558</t>
  </si>
  <si>
    <t xml:space="preserve">156615</t>
  </si>
  <si>
    <t xml:space="preserve">1368</t>
  </si>
  <si>
    <t xml:space="preserve">2026-06-21</t>
  </si>
  <si>
    <t xml:space="preserve">PGREF414201</t>
  </si>
  <si>
    <t xml:space="preserve">220956</t>
  </si>
  <si>
    <t xml:space="preserve">3371</t>
  </si>
  <si>
    <t xml:space="preserve">2026-06-10</t>
  </si>
  <si>
    <t xml:space="preserve">PGREF145915</t>
  </si>
  <si>
    <t xml:space="preserve">351016</t>
  </si>
  <si>
    <t xml:space="preserve">1831</t>
  </si>
  <si>
    <t xml:space="preserve">2026-07-03</t>
  </si>
  <si>
    <t xml:space="preserve">PGREF758261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</si>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</sst>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3" t="n">
        <v>46339.99</v>
      </c>
      <c r="F2" s="2" t="s">
        <v>11</v>
      </c>
      <c r="G2" s="2" t="s">
        <v>12</v>
      </c>
    </row>
    <row r="3" customFormat="false" ht="15" hidden="false" customHeight="false" outlineLevel="0" collapsed="false">
      <c r="A3" s="2" t="s">
        <v>13</v>
      </c>
      <c r="B3" s="2" t="s">
        <v>14</v>
      </c>
      <c r="C3" s="2" t="s">
        <v>15</v>
      </c>
      <c r="D3" s="2" t="s">
        <v>16</v>
      </c>
      <c r="E3" s="3" t="n">
        <v>33917.14</v>
      </c>
      <c r="F3" s="2" t="s">
        <v>11</v>
      </c>
      <c r="G3" s="2" t="s">
        <v>17</v>
      </c>
    </row>
    <row r="4" customFormat="false" ht="15" hidden="false" customHeight="false" outlineLevel="0" collapsed="false">
      <c r="A4" s="2" t="s">
        <v>18</v>
      </c>
      <c r="B4" s="2" t="s">
        <v>8</v>
      </c>
      <c r="C4" s="2" t="s">
        <v>19</v>
      </c>
      <c r="D4" s="2" t="s">
        <v>20</v>
      </c>
      <c r="E4" s="3" t="n">
        <v>12688.39</v>
      </c>
      <c r="F4" s="2" t="s">
        <v>21</v>
      </c>
      <c r="G4" s="2" t="s">
        <v>22</v>
      </c>
    </row>
    <row r="5" customFormat="false" ht="15" hidden="false" customHeight="false" outlineLevel="0" collapsed="false">
      <c r="A5" s="2" t="s">
        <v>23</v>
      </c>
      <c r="B5" s="2" t="s">
        <v>8</v>
      </c>
      <c r="C5" s="2" t="s">
        <v>24</v>
      </c>
      <c r="D5" s="2" t="s">
        <v>25</v>
      </c>
      <c r="E5" s="3" t="n">
        <v>36036.6</v>
      </c>
      <c r="F5" s="2" t="s">
        <v>11</v>
      </c>
      <c r="G5" s="2" t="s">
        <v>26</v>
      </c>
    </row>
    <row r="6" customFormat="false" ht="15" hidden="false" customHeight="false" outlineLevel="0" collapsed="false">
      <c r="A6" s="2" t="s">
        <v>27</v>
      </c>
      <c r="B6" s="2" t="s">
        <v>8</v>
      </c>
      <c r="C6" s="2" t="s">
        <v>28</v>
      </c>
      <c r="D6" s="2" t="s">
        <v>29</v>
      </c>
      <c r="E6" s="3" t="n">
        <v>39779.8</v>
      </c>
      <c r="F6" s="2" t="s">
        <v>11</v>
      </c>
      <c r="G6" s="2" t="s">
        <v>30</v>
      </c>
    </row>
    <row r="7" customFormat="false" ht="15" hidden="false" customHeight="false" outlineLevel="0" collapsed="false">
      <c r="A7" s="2" t="s">
        <v>31</v>
      </c>
      <c r="B7" s="2" t="s">
        <v>32</v>
      </c>
      <c r="C7" s="2" t="s">
        <v>33</v>
      </c>
      <c r="D7" s="2" t="s">
        <v>34</v>
      </c>
      <c r="E7" s="3" t="n">
        <v>41248.82</v>
      </c>
      <c r="F7" s="2" t="s">
        <v>11</v>
      </c>
      <c r="G7" s="2" t="s">
        <v>35</v>
      </c>
    </row>
    <row r="8" customFormat="false" ht="15" hidden="false" customHeight="false" outlineLevel="0" collapsed="false">
      <c r="A8" s="2" t="s">
        <v>36</v>
      </c>
      <c r="B8" s="2" t="s">
        <v>37</v>
      </c>
      <c r="C8" s="2" t="s">
        <v>38</v>
      </c>
      <c r="D8" s="2" t="s">
        <v>39</v>
      </c>
      <c r="E8" s="3" t="n">
        <v>30945.53</v>
      </c>
      <c r="F8" s="2" t="s">
        <v>11</v>
      </c>
      <c r="G8" s="2" t="s">
        <v>40</v>
      </c>
    </row>
    <row r="9" customFormat="false" ht="15" hidden="false" customHeight="false" outlineLevel="0" collapsed="false">
      <c r="A9" s="2" t="s">
        <v>41</v>
      </c>
      <c r="B9" s="2" t="s">
        <v>37</v>
      </c>
      <c r="C9" s="2" t="s">
        <v>42</v>
      </c>
      <c r="D9" s="2" t="s">
        <v>43</v>
      </c>
      <c r="E9" s="3" t="n">
        <v>23167</v>
      </c>
      <c r="F9" s="2" t="s">
        <v>11</v>
      </c>
      <c r="G9" s="2" t="s">
        <v>44</v>
      </c>
    </row>
    <row r="10" customFormat="false" ht="15" hidden="false" customHeight="false" outlineLevel="0" collapsed="false">
      <c r="A10" s="2" t="s">
        <v>45</v>
      </c>
      <c r="B10" s="2" t="s">
        <v>14</v>
      </c>
      <c r="C10" s="2" t="s">
        <v>46</v>
      </c>
      <c r="D10" s="2" t="s">
        <v>47</v>
      </c>
      <c r="E10" s="3" t="n">
        <v>3022.68</v>
      </c>
      <c r="F10" s="2" t="s">
        <v>11</v>
      </c>
      <c r="G10" s="2" t="s">
        <v>48</v>
      </c>
    </row>
    <row r="11" customFormat="false" ht="15" hidden="false" customHeight="false" outlineLevel="0" collapsed="false">
      <c r="A11" s="2" t="s">
        <v>49</v>
      </c>
      <c r="B11" s="2" t="s">
        <v>14</v>
      </c>
      <c r="C11" s="2" t="s">
        <v>50</v>
      </c>
      <c r="D11" s="2" t="s">
        <v>51</v>
      </c>
      <c r="E11" s="3" t="n">
        <v>22418.36</v>
      </c>
      <c r="F11" s="2" t="s">
        <v>11</v>
      </c>
      <c r="G11" s="2" t="s">
        <v>52</v>
      </c>
    </row>
    <row r="12" customFormat="false" ht="15" hidden="false" customHeight="false" outlineLevel="0" collapsed="false">
      <c r="A12" s="2" t="s">
        <v>53</v>
      </c>
      <c r="B12" s="2" t="s">
        <v>37</v>
      </c>
      <c r="C12" s="2" t="s">
        <v>54</v>
      </c>
      <c r="D12" s="2" t="s">
        <v>34</v>
      </c>
      <c r="E12" s="3" t="n">
        <v>37314.33</v>
      </c>
      <c r="F12" s="2" t="s">
        <v>55</v>
      </c>
      <c r="G12" s="2" t="s">
        <v>56</v>
      </c>
    </row>
    <row r="13" customFormat="false" ht="15" hidden="false" customHeight="false" outlineLevel="0" collapsed="false">
      <c r="A13" s="2" t="s">
        <v>57</v>
      </c>
      <c r="B13" s="2" t="s">
        <v>14</v>
      </c>
      <c r="C13" s="2" t="s">
        <v>58</v>
      </c>
      <c r="D13" s="2" t="s">
        <v>59</v>
      </c>
      <c r="E13" s="3" t="n">
        <v>36294.69</v>
      </c>
      <c r="F13" s="2" t="s">
        <v>21</v>
      </c>
      <c r="G13" s="2" t="s">
        <v>60</v>
      </c>
    </row>
    <row r="14" customFormat="false" ht="15" hidden="false" customHeight="false" outlineLevel="0" collapsed="false">
      <c r="A14" s="2" t="s">
        <v>61</v>
      </c>
      <c r="B14" s="2" t="s">
        <v>14</v>
      </c>
      <c r="C14" s="2" t="s">
        <v>62</v>
      </c>
      <c r="D14" s="2" t="s">
        <v>16</v>
      </c>
      <c r="E14" s="3" t="n">
        <v>11574.56</v>
      </c>
      <c r="F14" s="2" t="s">
        <v>55</v>
      </c>
      <c r="G14" s="2" t="s">
        <v>63</v>
      </c>
    </row>
    <row r="15" customFormat="false" ht="15" hidden="false" customHeight="false" outlineLevel="0" collapsed="false">
      <c r="A15" s="2" t="s">
        <v>64</v>
      </c>
      <c r="B15" s="2" t="s">
        <v>8</v>
      </c>
      <c r="C15" s="2" t="s">
        <v>65</v>
      </c>
      <c r="D15" s="2" t="s">
        <v>66</v>
      </c>
      <c r="E15" s="3" t="n">
        <v>7536.07</v>
      </c>
      <c r="F15" s="2" t="s">
        <v>11</v>
      </c>
      <c r="G15" s="2" t="s">
        <v>67</v>
      </c>
    </row>
    <row r="16" customFormat="false" ht="15" hidden="false" customHeight="false" outlineLevel="0" collapsed="false">
      <c r="A16" s="2" t="s">
        <v>68</v>
      </c>
      <c r="B16" s="2" t="s">
        <v>32</v>
      </c>
      <c r="C16" s="2" t="s">
        <v>69</v>
      </c>
      <c r="D16" s="2" t="s">
        <v>70</v>
      </c>
      <c r="E16" s="3" t="n">
        <v>29770.61</v>
      </c>
      <c r="F16" s="2" t="s">
        <v>11</v>
      </c>
      <c r="G16" s="2" t="s">
        <v>71</v>
      </c>
    </row>
    <row r="17" customFormat="false" ht="15" hidden="false" customHeight="false" outlineLevel="0" collapsed="false">
      <c r="A17" s="2" t="s">
        <v>72</v>
      </c>
      <c r="B17" s="2" t="s">
        <v>14</v>
      </c>
      <c r="C17" s="2" t="s">
        <v>73</v>
      </c>
      <c r="D17" s="2" t="s">
        <v>74</v>
      </c>
      <c r="E17" s="3" t="n">
        <v>29974.93</v>
      </c>
      <c r="F17" s="2" t="s">
        <v>11</v>
      </c>
      <c r="G17" s="2" t="s">
        <v>75</v>
      </c>
    </row>
    <row r="18" customFormat="false" ht="15" hidden="false" customHeight="false" outlineLevel="0" collapsed="false">
      <c r="A18" s="2" t="s">
        <v>76</v>
      </c>
      <c r="B18" s="2" t="s">
        <v>32</v>
      </c>
      <c r="C18" s="2" t="s">
        <v>77</v>
      </c>
      <c r="D18" s="2" t="s">
        <v>78</v>
      </c>
      <c r="E18" s="3" t="n">
        <v>26494.76</v>
      </c>
      <c r="F18" s="2" t="s">
        <v>11</v>
      </c>
      <c r="G18" s="2" t="s">
        <v>79</v>
      </c>
    </row>
    <row r="19" customFormat="false" ht="15" hidden="false" customHeight="false" outlineLevel="0" collapsed="false">
      <c r="A19" s="4" t="s">
        <v>80</v>
      </c>
      <c r="E19" s="5" t="n">
        <f aca="false">SUM(E2:E18)</f>
        <v>468524.26</v>
      </c>
    </row>
  </sheetData>
  <autoFilter ref="A1:G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2026-08-24T18:29:43Z</dcterms:created>
  <dc:creator>openpyxl</dc:creator>
  <dc:description/>
  <dc:language>en-US</dc:language>
  <cp:lastModifiedBy/>
  <dcterms:modified xsi:type="dcterms:W3CDTF">2026-08-24T18:29:43Z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